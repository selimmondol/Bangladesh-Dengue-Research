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elimmondol/Downloads/Research/Dengue/Data/"/>
    </mc:Choice>
  </mc:AlternateContent>
  <xr:revisionPtr revIDLastSave="0" documentId="13_ncr:1_{C5E8AB5C-5F77-B547-A2D0-7ED66564551E}" xr6:coauthVersionLast="47" xr6:coauthVersionMax="47" xr10:uidLastSave="{00000000-0000-0000-0000-000000000000}"/>
  <bookViews>
    <workbookView xWindow="0" yWindow="660" windowWidth="30240" windowHeight="17360" activeTab="1" xr2:uid="{00000000-000D-0000-FFFF-FFFF00000000}"/>
  </bookViews>
  <sheets>
    <sheet name="START_HERE" sheetId="1" r:id="rId1"/>
    <sheet name="Research_Data" sheetId="2" r:id="rId2"/>
    <sheet name="NASA_Climate_2000_2025" sheetId="3" r:id="rId3"/>
    <sheet name="Original_2000_2021" sheetId="4" r:id="rId4"/>
    <sheet name="Variable_Metadata" sheetId="5" r:id="rId5"/>
    <sheet name="Quality_And_Sources" sheetId="6" r:id="rId6"/>
    <sheet name="2024_Deaths_Verification" sheetId="7" r:id="rId7"/>
    <sheet name="Corrections_Log" sheetId="8" r:id="rId8"/>
    <sheet name="Case_Reconciliation" sheetId="9" r:id="rId9"/>
    <sheet name="Unresolved_Issu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7" l="1"/>
  <c r="B14" i="7"/>
  <c r="D13" i="7"/>
  <c r="D14" i="7" s="1"/>
  <c r="D12" i="7"/>
  <c r="D11" i="7"/>
  <c r="D10" i="7"/>
  <c r="D9" i="7"/>
  <c r="D8" i="7"/>
  <c r="D7" i="7"/>
  <c r="D6" i="7"/>
  <c r="D5" i="7"/>
  <c r="D4" i="7"/>
  <c r="D3" i="7"/>
  <c r="D2" i="7"/>
</calcChain>
</file>

<file path=xl/sharedStrings.xml><?xml version="1.0" encoding="utf-8"?>
<sst xmlns="http://schemas.openxmlformats.org/spreadsheetml/2006/main" count="3538" uniqueCount="626">
  <si>
    <t>BANGLADESH DENGUE — 2000–2025 | RESEARCH WORKBOOK</t>
  </si>
  <si>
    <t>Dataset status</t>
  </si>
  <si>
    <t>SOURCE-RECONCILED WORKING COPY. 7 case values updated (2019–2020); 2019/2023 death discrepancies, 2025 monthly sources and single-point climate remain unresolved.</t>
  </si>
  <si>
    <t>Coverage</t>
  </si>
  <si>
    <t>2000-01 to 2025-12, 312 continuous monthly records.</t>
  </si>
  <si>
    <t>Primary sheet</t>
  </si>
  <si>
    <t>Research_Data: monthly dengue observations + all ten NASA climate variables.</t>
  </si>
  <si>
    <t>Raw climate sheet</t>
  </si>
  <si>
    <t>NASA_Climate_2000_2025: complete 2000–2025 climate series from dataa.csv.</t>
  </si>
  <si>
    <t>Source preservation</t>
  </si>
  <si>
    <t>Original_2000_2021 retains untouched user-uploaded historical data. All 7 changes to Research_Data documented in Corrections_Log.</t>
  </si>
  <si>
    <t>Main updated input</t>
  </si>
  <si>
    <t>dataa.csv, NASA POWER, monthly UTC, 23.685 N, 90.3563 E.</t>
  </si>
  <si>
    <t>Climate completeness</t>
  </si>
  <si>
    <t>All 10 parameters × 312 months present, no -999/missing values.</t>
  </si>
  <si>
    <t>Dengue cases</t>
  </si>
  <si>
    <t>Research_Data 2019–2020 case corrections: +242, based on DGHS-attributed TIB monthly series, WHO annual confirmation; original source sheet unchanged.</t>
  </si>
  <si>
    <t>Dengue deaths</t>
  </si>
  <si>
    <t>2024 monthly deaths verified; 2019 and 2023 annual death discrepancies are flagged in Unresolved_Issues, not changed.</t>
  </si>
  <si>
    <t>Rainfall units</t>
  </si>
  <si>
    <t>PRECTOTCORR = average daily precipitation (mm/day); PRECTOTCORR_SUM ≈ monthly total (mm/month) from values.</t>
  </si>
  <si>
    <t>Rainfall header caveat</t>
  </si>
  <si>
    <t>NASA CSV calls PRECTOTCORR_SUM (mm/day), but values equal approximately daily mean × days per month. Verify official meaning.</t>
  </si>
  <si>
    <t>Climate spatial limitation</t>
  </si>
  <si>
    <t>Single grid-point near central Bangladesh; not the Bangladesh-wide average.</t>
  </si>
  <si>
    <t>Dengue spatial limitation</t>
  </si>
  <si>
    <t>Dengue values are country-level; source and reporting coverage need independent verification.</t>
  </si>
  <si>
    <t>Temporal consistency</t>
  </si>
  <si>
    <t>All included climate data use UTC, one latitude/longitude, one download; no LST/UTC splice.</t>
  </si>
  <si>
    <t>Do not use blindly</t>
  </si>
  <si>
    <t>Do not claim national-climate representativeness or fully verified dengue surveillance for publication.</t>
  </si>
  <si>
    <t>Research modelling</t>
  </si>
  <si>
    <t>Do not call this dataset fully verified. Some data are provisional and climate represents one point, not a Bangladesh-wide average.</t>
  </si>
  <si>
    <t>Next tasks</t>
  </si>
  <si>
    <t>Run modelling notebooks afresh on this updated Research_Data; existing ML/PCA/Bayesian plots and metrics are based on previous inputs.</t>
  </si>
  <si>
    <t>NASA POWER data viewer</t>
  </si>
  <si>
    <t>Correction log: see Corrections_Log. Annual changes: Case_Reconciliation. Outstanding issues: Unresolved_Issues.</t>
  </si>
  <si>
    <t>NASA POWER monthly API docs</t>
  </si>
  <si>
    <t>https://power.larc.nasa.gov/docs/services/api/temporal/monthly/</t>
  </si>
  <si>
    <t>DGHS dengue dashboard</t>
  </si>
  <si>
    <t>https://dashboard.dghs.gov.bd/pages/heoc_dengue_v1.php</t>
  </si>
  <si>
    <t>Year</t>
  </si>
  <si>
    <t>Month_Number</t>
  </si>
  <si>
    <t>Month</t>
  </si>
  <si>
    <t>Year_Month</t>
  </si>
  <si>
    <t>Cases</t>
  </si>
  <si>
    <t>Deaths</t>
  </si>
  <si>
    <t>T2M_C</t>
  </si>
  <si>
    <t>T2M_MIN_C</t>
  </si>
  <si>
    <t>T2M_MAX_C</t>
  </si>
  <si>
    <t>RH2M_pct</t>
  </si>
  <si>
    <t>PRECTOTCORR_mm_day</t>
  </si>
  <si>
    <t>PRECTOTCORR_SUM_mm_month</t>
  </si>
  <si>
    <t>PS_kPa</t>
  </si>
  <si>
    <t>WS50M_MAX_m_s</t>
  </si>
  <si>
    <t>QV2M_g_kg</t>
  </si>
  <si>
    <t>WS2M_m_s</t>
  </si>
  <si>
    <t>Dengue_Record_Status</t>
  </si>
  <si>
    <t>Cases_Source</t>
  </si>
  <si>
    <t>Deaths_Source</t>
  </si>
  <si>
    <t>Climate_Source</t>
  </si>
  <si>
    <t>Climate_Coverage</t>
  </si>
  <si>
    <t>Jan</t>
  </si>
  <si>
    <t>2000-01</t>
  </si>
  <si>
    <t>ORIGINAL — provenance / geolocation not independently checked</t>
  </si>
  <si>
    <t>User-uploaded Dengue MSM.xlsx</t>
  </si>
  <si>
    <t>NASA POWER MERRA-2 dataa.csv (2000–2025 UTC; 23.685N, 90.3563E)</t>
  </si>
  <si>
    <t>SINGLE POINT; not national average</t>
  </si>
  <si>
    <t>Feb</t>
  </si>
  <si>
    <t>2000-02</t>
  </si>
  <si>
    <t>Mar</t>
  </si>
  <si>
    <t>2000-03</t>
  </si>
  <si>
    <t>Apr</t>
  </si>
  <si>
    <t>2000-04</t>
  </si>
  <si>
    <t>May</t>
  </si>
  <si>
    <t>2000-05</t>
  </si>
  <si>
    <t>Jun</t>
  </si>
  <si>
    <t>2000-06</t>
  </si>
  <si>
    <t>Jul</t>
  </si>
  <si>
    <t>2000-07</t>
  </si>
  <si>
    <t>Aug</t>
  </si>
  <si>
    <t>2000-08</t>
  </si>
  <si>
    <t>Sep</t>
  </si>
  <si>
    <t>2000-09</t>
  </si>
  <si>
    <t>Oct</t>
  </si>
  <si>
    <t>2000-10</t>
  </si>
  <si>
    <t>Nov</t>
  </si>
  <si>
    <t>2000-11</t>
  </si>
  <si>
    <t>Dec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</si>
  <si>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</si>
  <si>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</si>
  <si>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</si>
  <si>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</si>
  <si>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</si>
  <si>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</si>
  <si>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</si>
  <si>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</si>
  <si>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</si>
  <si>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</si>
  <si>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</si>
  <si>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</si>
  <si>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</si>
  <si>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</si>
  <si>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</si>
  <si>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</si>
  <si>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</si>
  <si>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</si>
  <si>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</si>
  <si>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</si>
  <si>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</si>
  <si>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</si>
  <si>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</si>
  <si>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</si>
  <si>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</si>
  <si>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</si>
  <si>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</si>
  <si>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</si>
  <si>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</si>
  <si>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</si>
  <si>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</si>
  <si>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</si>
  <si>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</si>
  <si>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</si>
  <si>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</si>
  <si>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</si>
  <si>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</si>
  <si>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</si>
  <si>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</si>
  <si>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</si>
  <si>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</si>
  <si>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</si>
  <si>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</si>
  <si>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</si>
  <si>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</si>
  <si>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</si>
  <si>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</si>
  <si>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</si>
  <si>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</si>
  <si>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</si>
  <si>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</si>
  <si>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</si>
  <si>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</si>
  <si>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</si>
  <si>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</si>
  <si>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</si>
  <si>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</si>
  <si>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</si>
  <si>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</si>
  <si>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</si>
  <si>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</si>
  <si>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</si>
  <si>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</si>
  <si>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</si>
  <si>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</si>
  <si>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</si>
  <si>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</si>
  <si>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</si>
  <si>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</si>
  <si>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</si>
  <si>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</si>
  <si>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</si>
  <si>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</si>
  <si>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</si>
  <si>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</si>
  <si>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</si>
  <si>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</si>
  <si>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</si>
  <si>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</si>
  <si>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</si>
  <si>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</si>
  <si>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</si>
  <si>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</si>
  <si>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</si>
  <si>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</si>
  <si>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</si>
  <si>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</si>
  <si>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</si>
  <si>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</si>
  <si>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</si>
  <si>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</si>
  <si>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</si>
  <si>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</si>
  <si>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</si>
  <si>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</si>
  <si>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</si>
  <si>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</si>
  <si>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</si>
  <si>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</si>
  <si>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</si>
  <si>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</si>
  <si>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</si>
  <si>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</si>
  <si>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</si>
  <si>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</si>
  <si>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</si>
  <si>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</si>
  <si>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</si>
  <si>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</si>
  <si>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</si>
  <si>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</si>
  <si>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</si>
  <si>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</si>
  <si>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</si>
  <si>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</si>
  <si>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</si>
  <si>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</si>
  <si>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</si>
  <si>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</si>
  <si>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</si>
  <si>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</si>
  <si>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</si>
  <si>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</si>
  <si>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</si>
  <si>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</si>
  <si>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</si>
  <si>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</si>
  <si>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</si>
  <si>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</si>
  <si>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</si>
  <si>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</si>
  <si>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</si>
  <si>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</si>
  <si>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</si>
  <si>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</si>
  <si>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</si>
  <si>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</si>
  <si>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</si>
  <si>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</si>
  <si>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</si>
  <si>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</si>
  <si>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</si>
  <si>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</si>
  <si>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</si>
  <si>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</si>
  <si>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</si>
  <si>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</si>
  <si>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</si>
  <si>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</si>
  <si>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</si>
  <si>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</si>
  <si>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</si>
  <si>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</si>
  <si>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</si>
  <si>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</si>
  <si>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</si>
  <si>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</si>
  <si>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</si>
  <si>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</si>
  <si>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</si>
  <si>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</si>
  <si>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</si>
  <si>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</si>
  <si>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</si>
  <si>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</si>
  <si>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</si>
  <si>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</si>
  <si>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</si>
  <si>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</si>
  <si>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</si>
  <si>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</si>
  <si>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</si>
  <si>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</si>
  <si>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</si>
  <si>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</si>
  <si>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</si>
  <si>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</si>
  <si>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</si>
  <si>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</si>
  <si>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</si>
  <si>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</si>
  <si>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</si>
  <si>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</si>
  <si>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</si>
  <si>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</si>
  <si>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</si>
  <si>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</si>
  <si>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</si>
  <si>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</si>
  <si>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</si>
  <si>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</si>
  <si>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</si>
  <si>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</si>
  <si>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</si>
  <si>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</si>
  <si>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</si>
  <si>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</si>
  <si>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</si>
  <si>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</si>
  <si>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</si>
  <si>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</si>
  <si>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</si>
  <si>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</si>
  <si>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</si>
  <si>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</si>
  <si>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</si>
  <si>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</si>
  <si>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</si>
  <si>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</si>
  <si>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</si>
  <si>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</si>
  <si>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</si>
  <si>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</si>
  <si>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</si>
  <si>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</si>
  <si>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</si>
  <si>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</si>
  <si>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</si>
  <si>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</si>
  <si>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</si>
  <si>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</si>
  <si>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</si>
  <si>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</si>
  <si>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</si>
  <si>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</si>
  <si>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</si>
  <si>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</si>
  <si>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RECONCILED to DGHS-attributed published monthly counts; direct DGHS monthly bulletin not yet obtained</t>
  </si>
  <si>
    <t>https://www.ti-bangladesh.org/images/2023/report/dengue-crisis/Executive-Study-EN-Dengue-Crisis-Prevention-and-Control-TIB.pdf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</si>
  <si>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</si>
  <si>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</si>
  <si>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</si>
  <si>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</si>
  <si>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</si>
  <si>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</si>
  <si>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</si>
  <si>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</si>
  <si>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</si>
  <si>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</si>
  <si>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</si>
  <si>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</si>
  <si>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</si>
  <si>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</si>
  <si>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</si>
  <si>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</si>
  <si>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</si>
  <si>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</si>
  <si>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</si>
  <si>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</si>
  <si>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</si>
  <si>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</si>
  <si>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</si>
  <si>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</si>
  <si>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</si>
  <si>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</si>
  <si>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</si>
  <si>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CASES ADDED; climate 7 columns missing; cases from literature/news</t>
  </si>
  <si>
    <t>https://pmc.ncbi.nlm.nih.gov/articles/PMC10337852/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</si>
  <si>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</si>
  <si>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</si>
  <si>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</si>
  <si>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</si>
  <si>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</si>
  <si>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</si>
  <si>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</si>
  <si>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</si>
  <si>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</si>
  <si>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</si>
  <si>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</si>
  <si>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</si>
  <si>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CHECK: monthly death values sum to 1703 vs published 1705; climate missing</t>
  </si>
  <si>
    <t>https://onlinelibrary.wiley.com/doi/full/10.1002/hsr2.72093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</si>
  <si>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</si>
  <si>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</si>
  <si>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</si>
  <si>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</si>
  <si>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</si>
  <si>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</si>
  <si>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</si>
  <si>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</si>
  <si>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</si>
  <si>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</si>
  <si>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</si>
  <si>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</si>
  <si>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 DEATHS VERIFIED — DGHS national clinical guideline, Figure 9 (p. 21); cases sourced separately, still subject to audit</t>
  </si>
  <si>
    <t>https://www.banglajol.info/index.php/BAFMJ/article/download/84963/55614</t>
  </si>
  <si>
    <t>https://objectstorage.ap-dcc-gazipur-1.oraclecloud15.com/n/axvjbnqprylg/b/V2Ministry/o/office-dghs/2024/12/ced4790ce65d4052bbab9d804ad6e1fd.pdf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</si>
  <si>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</si>
  <si>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</si>
  <si>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</si>
  <si>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</si>
  <si>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</si>
  <si>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</si>
  <si>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</si>
  <si>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</si>
  <si>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</si>
  <si>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</si>
  <si>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</si>
  <si>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</si>
  <si>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PROVISIONAL: cases/deaths from reports of DGHS bulletins; validate against year-end corrected figures</t>
  </si>
  <si>
    <t>https://bdnews24.com/health/f55d4919880b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</si>
  <si>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</si>
  <si>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</si>
  <si>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</si>
  <si>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</si>
  <si>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</si>
  <si>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</si>
  <si>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</si>
  <si>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</si>
  <si>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</si>
  <si>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</si>
  <si>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DERIVED: November cases 95,081 cumulative at Nov 30 minus Jan-Oct 69,862; deaths 380 minus Jan-Oct 278</t>
  </si>
  <si>
    <t>https://travelhealthpro.org/updates.php?base=4685</t>
  </si>
  <si>
    <t>2025-12</t>
  </si>
  <si>
    <t>DERIVED: December cases/deaths from 2025 annual less through-Nov totals; check final official monthly report</t>
  </si>
  <si>
    <t>https://www.bssnews.net/news/357811</t>
  </si>
  <si>
    <t>Months</t>
  </si>
  <si>
    <t>T2M</t>
  </si>
  <si>
    <t>T2M_MIN</t>
  </si>
  <si>
    <t>T2M_MAX</t>
  </si>
  <si>
    <t>RH2M</t>
  </si>
  <si>
    <t>PRECTOTCORR</t>
  </si>
  <si>
    <t>PS</t>
  </si>
  <si>
    <t>WS50_MAX</t>
  </si>
  <si>
    <t>Column / parameter</t>
  </si>
  <si>
    <t>Full name</t>
  </si>
  <si>
    <t>Unit</t>
  </si>
  <si>
    <t>Temporal coverage</t>
  </si>
  <si>
    <t>Meaning / provenance note</t>
  </si>
  <si>
    <t>Calendar year</t>
  </si>
  <si>
    <t>year</t>
  </si>
  <si>
    <t>2000–2025</t>
  </si>
  <si>
    <t>Date dimension</t>
  </si>
  <si>
    <t>Month sequence</t>
  </si>
  <si>
    <t>1–12</t>
  </si>
  <si>
    <t>Calendar month</t>
  </si>
  <si>
    <t>3-letter month</t>
  </si>
  <si>
    <t>Monthly time period</t>
  </si>
  <si>
    <t>YYYY-MM</t>
  </si>
  <si>
    <t>Reported dengue cases</t>
  </si>
  <si>
    <t>cases/month</t>
  </si>
  <si>
    <t>Bangladesh user upload (2000–2021) + provisional sourced additions 2022–2025</t>
  </si>
  <si>
    <t>Reported dengue deaths</t>
  </si>
  <si>
    <t>deaths/month</t>
  </si>
  <si>
    <t>2000–2025 except missing 2024</t>
  </si>
  <si>
    <t>2024 left blank; do not equate missing with zero</t>
  </si>
  <si>
    <t>Mean air temperature at 2m</t>
  </si>
  <si>
    <t>°C</t>
  </si>
  <si>
    <t>NASA POWER MERRA-2 point</t>
  </si>
  <si>
    <t>Min temperature 2m</t>
  </si>
  <si>
    <t>NASA POWER MERRA-2 point; aggregation differs from other datasets</t>
  </si>
  <si>
    <t>Max temperature 2m</t>
  </si>
  <si>
    <t>Relative humidity at 2m</t>
  </si>
  <si>
    <t>%</t>
  </si>
  <si>
    <t>Corrected precipitation monthly mean rate</t>
  </si>
  <si>
    <t>mm/day</t>
  </si>
  <si>
    <t>Precipitation monthly total (sum of daily precipitation)</t>
  </si>
  <si>
    <t>mm/month (inferred)</t>
  </si>
  <si>
    <t>NASA CSV labels mm/day; values match rate×days; check NASA parameter dictionary</t>
  </si>
  <si>
    <t>Surface pressure</t>
  </si>
  <si>
    <t>kPa</t>
  </si>
  <si>
    <t>Maximum 50m wind speed</t>
  </si>
  <si>
    <t>m/s</t>
  </si>
  <si>
    <t>Specific humidity at 2m</t>
  </si>
  <si>
    <t>g/kg</t>
  </si>
  <si>
    <t>NASA POWER MERRA-2 point; not same as RH2M</t>
  </si>
  <si>
    <t>Wind speed at 2m</t>
  </si>
  <si>
    <t>Source verification status</t>
  </si>
  <si>
    <t>text</t>
  </si>
  <si>
    <t>Keep status flags from previous research draft</t>
  </si>
  <si>
    <t>Source for dengue cases</t>
  </si>
  <si>
    <t>text/URL</t>
  </si>
  <si>
    <t>Preserved from previous dataset</t>
  </si>
  <si>
    <t>Source for dengue deaths</t>
  </si>
  <si>
    <t>Climate data source</t>
  </si>
  <si>
    <t>dataa.csv; consistent UTC point all 26 years</t>
  </si>
  <si>
    <t>Scope of weather values</t>
  </si>
  <si>
    <t>Single point; not Bangladesh-wide aggregate</t>
  </si>
  <si>
    <t>Audit check</t>
  </si>
  <si>
    <t>Result</t>
  </si>
  <si>
    <t>Publication implication</t>
  </si>
  <si>
    <t>Evidence / source</t>
  </si>
  <si>
    <t>Period</t>
  </si>
  <si>
    <t>January 2000–December 2025</t>
  </si>
  <si>
    <t>Complete continuous 26 years</t>
  </si>
  <si>
    <t>NASA file dataa.csv</t>
  </si>
  <si>
    <t>All month keys unique</t>
  </si>
  <si>
    <t>Year and month parsed from CSV</t>
  </si>
  <si>
    <t>Climate parameters</t>
  </si>
  <si>
    <t>All available per month</t>
  </si>
  <si>
    <t>MERRA-2 NASA POWER</t>
  </si>
  <si>
    <t>Missing sentinel climate observations</t>
  </si>
  <si>
    <t>Climate fields complete</t>
  </si>
  <si>
    <t>-999 count</t>
  </si>
  <si>
    <t>Missing dengue cases</t>
  </si>
  <si>
    <t>No blank case targets in provisional master</t>
  </si>
  <si>
    <t>Previous research workbook</t>
  </si>
  <si>
    <t>Missing dengue deaths</t>
  </si>
  <si>
    <t>All 2024 monthly deaths restored from official DGHS chart (Figure 9, p. 21). Total = 575.</t>
  </si>
  <si>
    <t>Original 2000–2021 dengue records</t>
  </si>
  <si>
    <t>Raw user data preserved in Original_2000_2021; 7 supported 2019–2020 case corrections applied only in Research_Data.</t>
  </si>
  <si>
    <t>Keep raw provenance; do not confuse corrections with unchanged original.</t>
  </si>
  <si>
    <t>Dengue MSM.xlsx</t>
  </si>
  <si>
    <t>2022–2025 dengue surveillance</t>
  </si>
  <si>
    <t>2024 monthly deaths verified; 2022–2025 cases and other yearly deaths still require full source audit</t>
  </si>
  <si>
    <t>Do not treat all recent observations as independently verified</t>
  </si>
  <si>
    <t>Location</t>
  </si>
  <si>
    <t>23.685 N, 90.3563 E</t>
  </si>
  <si>
    <t>Single NASA grid point only</t>
  </si>
  <si>
    <t>dataa.csv header</t>
  </si>
  <si>
    <t>Country-wide geography</t>
  </si>
  <si>
    <t>NOT representative national average</t>
  </si>
  <si>
    <t>Build spatial aggregate or acknowledge proxy limitation</t>
  </si>
  <si>
    <t>NASA point vs national case counts</t>
  </si>
  <si>
    <t>Time standard</t>
  </si>
  <si>
    <t>UTC</t>
  </si>
  <si>
    <t>Consistent across complete 26-year weather file</t>
  </si>
  <si>
    <t>Precipitation convention</t>
  </si>
  <si>
    <t>Daily rate and monthly sum separated</t>
  </si>
  <si>
    <t>Do not accidentally mix units</t>
  </si>
  <si>
    <t>PRECTOTCORR and PRECTOTCORR_SUM</t>
  </si>
  <si>
    <t>Old Excel rainfall Nov 2021</t>
  </si>
  <si>
    <t>24.95 mm old; 0.83 mm/day current</t>
  </si>
  <si>
    <t>Old value matches current monthly total 24.95</t>
  </si>
  <si>
    <t>Original dengue sheet vs new NASA</t>
  </si>
  <si>
    <t>Old Excel rainfall Dec 2021</t>
  </si>
  <si>
    <t>131.03 old; 4.23 mm/day current</t>
  </si>
  <si>
    <t>Old value matches approximately monthly total 131.02</t>
  </si>
  <si>
    <t>IMERG satellite rainfall</t>
  </si>
  <si>
    <t>Not selected in new 2000–2025 NASA file</t>
  </si>
  <si>
    <t>Excluded so all core climate variables share 26-year coverage</t>
  </si>
  <si>
    <t>dataa.csv parameter header</t>
  </si>
  <si>
    <t>NASA source page</t>
  </si>
  <si>
    <t>https://power.larc.nasa.gov/data-access-viewer/</t>
  </si>
  <si>
    <t>Download method / reproducibility</t>
  </si>
  <si>
    <t>NASA POWER</t>
  </si>
  <si>
    <t>NASA API documentation</t>
  </si>
  <si>
    <t>Parameter definitions and reproducibility</t>
  </si>
  <si>
    <t>DGHS dengue</t>
  </si>
  <si>
    <t>Independently verify cases and deaths</t>
  </si>
  <si>
    <t>DGHS Bangladesh</t>
  </si>
  <si>
    <t>Monthly case reconciliation</t>
  </si>
  <si>
    <t>Seven 2019/2020 case records</t>
  </si>
  <si>
    <t>+242 net cases in Research_Data; refer Corrections_Log</t>
  </si>
  <si>
    <t>WHO annual corroboration</t>
  </si>
  <si>
    <t>2019: 101,354 cases; 2020: 1,405 cases</t>
  </si>
  <si>
    <t>Annual agreement does not verify every monthly observation</t>
  </si>
  <si>
    <t>https://www.who.int/emergencies/disease-outbreak-news/item/2022-DON424</t>
  </si>
  <si>
    <t>Remaining death discrepancy</t>
  </si>
  <si>
    <t>2019 workbook 166 vs WHO 164; 2023 workbook 1,703 vs 1,705</t>
  </si>
  <si>
    <t>No unsupported changes applied to monthly deaths</t>
  </si>
  <si>
    <t>Dataset research status</t>
  </si>
  <si>
    <t>PROVISIONAL — SOURCE-RECONCILED</t>
  </si>
  <si>
    <t>Rerun analysis; direct DGHS monthly bulletin, 2025 final monthly records, national climate outstanding</t>
  </si>
  <si>
    <t>See Unresolved_Issues</t>
  </si>
  <si>
    <t>2024 cases (retained)</t>
  </si>
  <si>
    <t>Deaths (verified)</t>
  </si>
  <si>
    <t>Cumulative deaths</t>
  </si>
  <si>
    <t>Status</t>
  </si>
  <si>
    <t>Original government source</t>
  </si>
  <si>
    <t>Official DGHS Figure 9</t>
  </si>
  <si>
    <t>2024 total</t>
  </si>
  <si>
    <t>Source: DGHS, National Guideline for Clinical Management of Dengue, Figure 9, printed page 21.</t>
  </si>
  <si>
    <t>Monthly deaths transcribed from labelled bars in official Figure 9; checked against annual total 575.</t>
  </si>
  <si>
    <t>This update does not independently verify monthly dengue cases or other years' deaths.</t>
  </si>
  <si>
    <t>Field</t>
  </si>
  <si>
    <t>Original</t>
  </si>
  <si>
    <t>Updated</t>
  </si>
  <si>
    <t>Delta</t>
  </si>
  <si>
    <t>Update_Status</t>
  </si>
  <si>
    <t>Monthly_Evidence_URL</t>
  </si>
  <si>
    <t>Annual_Corroboration_URL</t>
  </si>
  <si>
    <t>Additional_Monthly_Source_URL</t>
  </si>
  <si>
    <t>Note</t>
  </si>
  <si>
    <t>RECONCILED (official monthly bulletin pending)</t>
  </si>
  <si>
    <t>https://pmc.ncbi.nlm.nih.gov/articles/PMC12106341/</t>
  </si>
  <si>
    <t>DGHS-attributed monthly series (TIB Annex Table 1) and independent paper agree; direct monthly bulletin not yet obtained.</t>
  </si>
  <si>
    <t>https://cdn.who.int/media/docs/default-source/searo/bangladesh/dengue-sitrep/dengue-sitrep-issue-12.pdf</t>
  </si>
  <si>
    <t>Original Cases</t>
  </si>
  <si>
    <t>Updated Cases</t>
  </si>
  <si>
    <t>Change</t>
  </si>
  <si>
    <t>Reference Cases</t>
  </si>
  <si>
    <t>Comparison</t>
  </si>
  <si>
    <t>Reference URL</t>
  </si>
  <si>
    <t>Context</t>
  </si>
  <si>
    <t>MATCH</t>
  </si>
  <si>
    <t>2019-10 corrected. WHO annual corroborates 101,354.</t>
  </si>
  <si>
    <t>Six months reconciled; WHO 2023 sitrep historical weekly series confirms annual 1,405.</t>
  </si>
  <si>
    <t>2000-2022</t>
  </si>
  <si>
    <t>Period difference fully reconciled to 2019 and 2020 case corrections; other years not independently checked.</t>
  </si>
  <si>
    <t>2000-2025</t>
  </si>
  <si>
    <t>NOT FULLY VERIFIED</t>
  </si>
  <si>
    <t>Total updated; historical data beyond identified months need source audit.</t>
  </si>
  <si>
    <t>Issue</t>
  </si>
  <si>
    <t>Observed Workbook</t>
  </si>
  <si>
    <t>Reference / Concern</t>
  </si>
  <si>
    <t>Required Action</t>
  </si>
  <si>
    <t>Source URL</t>
  </si>
  <si>
    <t>2019 annual deaths</t>
  </si>
  <si>
    <t>2019</t>
  </si>
  <si>
    <t>166</t>
  </si>
  <si>
    <t>WHO reports 164</t>
  </si>
  <si>
    <t>OPEN - no monthly allocation</t>
  </si>
  <si>
    <t>Verify monthly deaths from official DGHS; do not alter without month-level evidence</t>
  </si>
  <si>
    <t>2023 annual deaths</t>
  </si>
  <si>
    <t>2023</t>
  </si>
  <si>
    <t>1,703</t>
  </si>
  <si>
    <t>Published annual 1,705 vs monthly sum 1,703</t>
  </si>
  <si>
    <t>OPEN - source internal inconsistency</t>
  </si>
  <si>
    <t>Obtain DGHS corrected monthly death series and reconcile</t>
  </si>
  <si>
    <t>2025 provisional monthly surveillance</t>
  </si>
  <si>
    <t>2025-01 through 2025-10</t>
  </si>
  <si>
    <t>Cases/deaths marked provisional</t>
  </si>
  <si>
    <t>Annual case/death totals match selected references</t>
  </si>
  <si>
    <t>OPEN</t>
  </si>
  <si>
    <t>Verify final DGHS monthly report before publication</t>
  </si>
  <si>
    <t>https://dashboard.dghs.gov.bd/pages/heoc_dengue</t>
  </si>
  <si>
    <t>2025 November/December</t>
  </si>
  <si>
    <t>2025-11 / 2025-12</t>
  </si>
  <si>
    <t>Derived from cumulative differences</t>
  </si>
  <si>
    <t>Monthly values not independently verified</t>
  </si>
  <si>
    <t>Compare against final official monthly DGHS release</t>
  </si>
  <si>
    <t>Climate spatial mismatch</t>
  </si>
  <si>
    <t>Single NASA POWER point: 23.685 N, 90.3563 E</t>
  </si>
  <si>
    <t>Dengue cases are national totals</t>
  </si>
  <si>
    <t>Use area-weighted Bangladesh gridded climate averages or label single-point proxy</t>
  </si>
  <si>
    <t>Historical surveillance provenance</t>
  </si>
  <si>
    <t>2000-2018</t>
  </si>
  <si>
    <t>User-provided monthly series</t>
  </si>
  <si>
    <t>Original provenance not independently checked</t>
  </si>
  <si>
    <t>Verify historical annual and selected monthly DGHS/IEDCR totals</t>
  </si>
  <si>
    <t>Corrected cases source grade</t>
  </si>
  <si>
    <t>2019-10 and six 2020 months</t>
  </si>
  <si>
    <t>7 DGHS-attributed secondary-source corrections</t>
  </si>
  <si>
    <t>Direct dated DGHS monthly bulletins not in evidence package</t>
  </si>
  <si>
    <t>RECONCILED; PRIMARY BULLETIN PENDING</t>
  </si>
  <si>
    <t>Retain audit register and verify primary records if accessible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</si>
</sst>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5">
    <font>
      <sz val="11"/>
      <name val="Carlito"/>
    </font>
    <font>
      <b/>
      <sz val="13"/>
      <color rgb="FFFFFFFF"/>
      <name val="Carlito"/>
    </font>
    <font>
      <b/>
      <sz val="11"/>
      <color rgb="FF17324D"/>
      <name val="Carlito"/>
    </font>
    <font>
      <b/>
      <sz val="11"/>
      <color rgb="FFFFFFFF"/>
      <name val="Carlito"/>
    </font>
    <font>
      <b/>
      <sz val="11"/>
      <color rgb="FF124357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2F5"/>
      </patternFill>
    </fill>
    <fill>
      <patternFill patternType="solid">
        <fgColor rgb="FFFFF0D6"/>
      </patternFill>
    </fill>
    <fill>
      <patternFill patternType="solid">
        <fgColor rgb="FF124357"/>
      </patternFill>
    </fill>
    <fill>
      <patternFill patternType="solid">
        <fgColor rgb="FFE7F3F8"/>
      </patternFill>
    </fill>
    <fill>
      <patternFill patternType="solid">
        <fgColor rgb="FFEAF6EE"/>
      </patternFill>
    </fill>
    <fill>
      <patternFill patternType="solid">
        <fgColor rgb="FF12465B"/>
      </patternFill>
    </fill>
    <fill>
      <patternFill patternType="solid">
        <fgColor rgb="FF9A4C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2" fontId="0" fillId="0" borderId="0" xfId="0" applyNumberFormat="1"/>
    <xf numFmtId="3" fontId="0" fillId="0" borderId="0" xfId="0" applyNumberFormat="1"/>
    <xf numFmtId="0" fontId="3" fillId="5" borderId="0" xfId="0" applyFont="1" applyFill="1" applyAlignment="1">
      <alignment wrapText="1"/>
    </xf>
    <xf numFmtId="0" fontId="4" fillId="6" borderId="0" xfId="0" applyFont="1" applyFill="1"/>
    <xf numFmtId="3" fontId="4" fillId="6" borderId="0" xfId="0" applyNumberFormat="1" applyFont="1" applyFill="1"/>
    <xf numFmtId="3" fontId="0" fillId="7" borderId="0" xfId="0" applyNumberFormat="1" applyFill="1"/>
    <xf numFmtId="0" fontId="3" fillId="8" borderId="0" xfId="0" applyFont="1" applyFill="1" applyAlignment="1">
      <alignment vertical="center" wrapText="1"/>
    </xf>
    <xf numFmtId="164" fontId="0" fillId="0" borderId="0" xfId="0" applyNumberFormat="1"/>
    <xf numFmtId="0" fontId="3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pane ySplit="1" topLeftCell="A11" activePane="bottomLeft" state="frozen"/>
      <selection pane="bottomLeft"/>
    </sheetView>
  </sheetViews>
  <sheetFormatPr baseColWidth="10" defaultColWidth="8.83203125" defaultRowHeight="14"/>
  <cols>
    <col min="1" max="1" width="28" customWidth="1"/>
    <col min="2" max="2" width="106" customWidth="1"/>
  </cols>
  <sheetData>
    <row r="1" spans="1:2" ht="32" customHeight="1">
      <c r="A1" s="1" t="s">
        <v>0</v>
      </c>
      <c r="B1" s="1"/>
    </row>
    <row r="2" spans="1:2" ht="31" customHeight="1">
      <c r="A2" s="2" t="s">
        <v>1</v>
      </c>
      <c r="B2" s="3" t="s">
        <v>2</v>
      </c>
    </row>
    <row r="3" spans="1:2" ht="31" customHeight="1">
      <c r="A3" s="2" t="s">
        <v>3</v>
      </c>
      <c r="B3" s="3" t="s">
        <v>4</v>
      </c>
    </row>
    <row r="4" spans="1:2" ht="31" customHeight="1">
      <c r="A4" s="2" t="s">
        <v>5</v>
      </c>
      <c r="B4" s="3" t="s">
        <v>6</v>
      </c>
    </row>
    <row r="5" spans="1:2" ht="31" customHeight="1">
      <c r="A5" s="2" t="s">
        <v>7</v>
      </c>
      <c r="B5" s="3" t="s">
        <v>8</v>
      </c>
    </row>
    <row r="6" spans="1:2" ht="31" customHeight="1">
      <c r="A6" s="2" t="s">
        <v>9</v>
      </c>
      <c r="B6" s="3" t="s">
        <v>10</v>
      </c>
    </row>
    <row r="7" spans="1:2" ht="31" customHeight="1">
      <c r="A7" s="2" t="s">
        <v>11</v>
      </c>
      <c r="B7" s="3" t="s">
        <v>12</v>
      </c>
    </row>
    <row r="8" spans="1:2" ht="31" customHeight="1">
      <c r="A8" s="2" t="s">
        <v>13</v>
      </c>
      <c r="B8" s="3" t="s">
        <v>14</v>
      </c>
    </row>
    <row r="9" spans="1:2" ht="31" customHeight="1">
      <c r="A9" s="2" t="s">
        <v>15</v>
      </c>
      <c r="B9" s="3" t="s">
        <v>16</v>
      </c>
    </row>
    <row r="10" spans="1:2" ht="31" customHeight="1">
      <c r="A10" s="2" t="s">
        <v>17</v>
      </c>
      <c r="B10" s="3" t="s">
        <v>18</v>
      </c>
    </row>
    <row r="11" spans="1:2" ht="40" customHeight="1">
      <c r="A11" s="2" t="s">
        <v>19</v>
      </c>
      <c r="B11" s="3" t="s">
        <v>20</v>
      </c>
    </row>
    <row r="12" spans="1:2" ht="40" customHeight="1">
      <c r="A12" s="2" t="s">
        <v>21</v>
      </c>
      <c r="B12" s="3" t="s">
        <v>22</v>
      </c>
    </row>
    <row r="13" spans="1:2" ht="40" customHeight="1">
      <c r="A13" s="2" t="s">
        <v>23</v>
      </c>
      <c r="B13" s="4" t="s">
        <v>24</v>
      </c>
    </row>
    <row r="14" spans="1:2" ht="40" customHeight="1">
      <c r="A14" s="2" t="s">
        <v>25</v>
      </c>
      <c r="B14" s="4" t="s">
        <v>26</v>
      </c>
    </row>
    <row r="15" spans="1:2" ht="40" customHeight="1">
      <c r="A15" s="2" t="s">
        <v>27</v>
      </c>
      <c r="B15" s="4" t="s">
        <v>28</v>
      </c>
    </row>
    <row r="16" spans="1:2" ht="40" customHeight="1">
      <c r="A16" s="2" t="s">
        <v>29</v>
      </c>
      <c r="B16" s="4" t="s">
        <v>30</v>
      </c>
    </row>
    <row r="17" spans="1:2" ht="31" customHeight="1">
      <c r="A17" s="2" t="s">
        <v>31</v>
      </c>
      <c r="B17" s="3" t="s">
        <v>32</v>
      </c>
    </row>
    <row r="18" spans="1:2" ht="31" customHeight="1">
      <c r="A18" s="2" t="s">
        <v>33</v>
      </c>
      <c r="B18" s="3" t="s">
        <v>34</v>
      </c>
    </row>
    <row r="19" spans="1:2" ht="31" customHeight="1">
      <c r="A19" s="2" t="s">
        <v>35</v>
      </c>
      <c r="B19" s="3" t="s">
        <v>36</v>
      </c>
    </row>
    <row r="20" spans="1:2" ht="31" customHeight="1">
      <c r="A20" s="2" t="s">
        <v>37</v>
      </c>
      <c r="B20" s="3" t="s">
        <v>38</v>
      </c>
    </row>
    <row r="21" spans="1:2" ht="31" customHeight="1">
      <c r="A21" s="2" t="s">
        <v>39</v>
      </c>
      <c r="B21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13"/>
  <sheetViews>
    <sheetView tabSelected="1" workbookViewId="0">
      <pane xSplit="4" ySplit="1" topLeftCell="E282" activePane="bottomRight" state="frozen"/>
      <selection pane="topRight"/>
      <selection pane="bottomLeft"/>
      <selection pane="bottomRight" activeCell="G295" sqref="G295"/>
    </sheetView>
  </sheetViews>
  <sheetFormatPr baseColWidth="10" defaultColWidth="8.83203125" defaultRowHeight="14"/>
  <cols>
    <col min="1" max="3" width="13" customWidth="1"/>
    <col min="4" max="4" width="15" customWidth="1"/>
    <col min="5" max="16" width="17" customWidth="1"/>
    <col min="17" max="21" width="37" customWidth="1"/>
  </cols>
  <sheetData>
    <row r="1" spans="1:21" ht="28" customHeight="1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  <c r="P1" s="5" t="s">
        <v>56</v>
      </c>
      <c r="Q1" s="5" t="s">
        <v>57</v>
      </c>
      <c r="R1" s="5" t="s">
        <v>58</v>
      </c>
      <c r="S1" s="5" t="s">
        <v>59</v>
      </c>
      <c r="T1" s="5" t="s">
        <v>60</v>
      </c>
      <c r="U1" s="5" t="s">
        <v>61</v>
      </c>
    </row>
    <row r="2" spans="1:21">
      <c r="A2">
        <v>2000</v>
      </c>
      <c r="B2">
        <v>1</v>
      </c>
      <c r="C2" t="s">
        <v>62</v>
      </c>
      <c r="D2" t="s">
        <v>63</v>
      </c>
      <c r="E2" s="7">
        <v>0</v>
      </c>
      <c r="F2" s="7">
        <v>0</v>
      </c>
      <c r="G2" s="6">
        <v>18.45</v>
      </c>
      <c r="H2" s="6">
        <v>8.02</v>
      </c>
      <c r="I2" s="6">
        <v>28.18</v>
      </c>
      <c r="J2" s="6">
        <v>62.09</v>
      </c>
      <c r="K2" s="6">
        <v>0.34</v>
      </c>
      <c r="L2" s="6">
        <v>10.45</v>
      </c>
      <c r="M2" s="6">
        <v>101.31</v>
      </c>
      <c r="N2" s="6">
        <v>7.66</v>
      </c>
      <c r="O2" s="6">
        <v>7.82</v>
      </c>
      <c r="P2" s="6">
        <v>1.61</v>
      </c>
      <c r="Q2" t="s">
        <v>64</v>
      </c>
      <c r="R2" t="s">
        <v>65</v>
      </c>
      <c r="S2" t="s">
        <v>65</v>
      </c>
      <c r="T2" t="s">
        <v>66</v>
      </c>
      <c r="U2" t="s">
        <v>67</v>
      </c>
    </row>
    <row r="3" spans="1:21">
      <c r="A3">
        <v>2000</v>
      </c>
      <c r="B3">
        <v>2</v>
      </c>
      <c r="C3" t="s">
        <v>68</v>
      </c>
      <c r="D3" t="s">
        <v>69</v>
      </c>
      <c r="E3" s="7">
        <v>0</v>
      </c>
      <c r="F3" s="7">
        <v>0</v>
      </c>
      <c r="G3" s="6">
        <v>20.55</v>
      </c>
      <c r="H3" s="6">
        <v>10.82</v>
      </c>
      <c r="I3" s="6">
        <v>29.9</v>
      </c>
      <c r="J3" s="6">
        <v>52.38</v>
      </c>
      <c r="K3" s="6">
        <v>0.77</v>
      </c>
      <c r="L3" s="6">
        <v>22.27</v>
      </c>
      <c r="M3" s="6">
        <v>101.2</v>
      </c>
      <c r="N3" s="6">
        <v>8.5500000000000007</v>
      </c>
      <c r="O3" s="6">
        <v>7.46</v>
      </c>
      <c r="P3" s="6">
        <v>1.66</v>
      </c>
      <c r="Q3" t="s">
        <v>64</v>
      </c>
      <c r="R3" t="s">
        <v>65</v>
      </c>
      <c r="S3" t="s">
        <v>65</v>
      </c>
      <c r="T3" t="s">
        <v>66</v>
      </c>
      <c r="U3" t="s">
        <v>67</v>
      </c>
    </row>
    <row r="4" spans="1:21">
      <c r="A4">
        <v>2000</v>
      </c>
      <c r="B4">
        <v>3</v>
      </c>
      <c r="C4" t="s">
        <v>70</v>
      </c>
      <c r="D4" t="s">
        <v>71</v>
      </c>
      <c r="E4" s="7">
        <v>0</v>
      </c>
      <c r="F4" s="7">
        <v>0</v>
      </c>
      <c r="G4" s="6">
        <v>25.78</v>
      </c>
      <c r="H4" s="6">
        <v>14.5</v>
      </c>
      <c r="I4" s="6">
        <v>36.07</v>
      </c>
      <c r="J4" s="6">
        <v>55.96</v>
      </c>
      <c r="K4" s="6">
        <v>2.4900000000000002</v>
      </c>
      <c r="L4" s="6">
        <v>77.209999999999994</v>
      </c>
      <c r="M4" s="6">
        <v>100.85</v>
      </c>
      <c r="N4" s="6">
        <v>10.73</v>
      </c>
      <c r="O4" s="6">
        <v>10.75</v>
      </c>
      <c r="P4" s="6">
        <v>2.12</v>
      </c>
      <c r="Q4" t="s">
        <v>64</v>
      </c>
      <c r="R4" t="s">
        <v>65</v>
      </c>
      <c r="S4" t="s">
        <v>65</v>
      </c>
      <c r="T4" t="s">
        <v>66</v>
      </c>
      <c r="U4" t="s">
        <v>67</v>
      </c>
    </row>
    <row r="5" spans="1:21">
      <c r="A5">
        <v>2000</v>
      </c>
      <c r="B5">
        <v>4</v>
      </c>
      <c r="C5" t="s">
        <v>72</v>
      </c>
      <c r="D5" t="s">
        <v>73</v>
      </c>
      <c r="E5" s="7">
        <v>0</v>
      </c>
      <c r="F5" s="7">
        <v>0</v>
      </c>
      <c r="G5" s="6">
        <v>29.45</v>
      </c>
      <c r="H5" s="6">
        <v>22.97</v>
      </c>
      <c r="I5" s="6">
        <v>39.67</v>
      </c>
      <c r="J5" s="6">
        <v>67.930000000000007</v>
      </c>
      <c r="K5" s="6">
        <v>5.17</v>
      </c>
      <c r="L5" s="6">
        <v>155.24</v>
      </c>
      <c r="M5" s="6">
        <v>100.44</v>
      </c>
      <c r="N5" s="6">
        <v>11.93</v>
      </c>
      <c r="O5" s="6">
        <v>16.489999999999998</v>
      </c>
      <c r="P5" s="6">
        <v>3.07</v>
      </c>
      <c r="Q5" t="s">
        <v>64</v>
      </c>
      <c r="R5" t="s">
        <v>65</v>
      </c>
      <c r="S5" t="s">
        <v>65</v>
      </c>
      <c r="T5" t="s">
        <v>66</v>
      </c>
      <c r="U5" t="s">
        <v>67</v>
      </c>
    </row>
    <row r="6" spans="1:21">
      <c r="A6">
        <v>2000</v>
      </c>
      <c r="B6">
        <v>5</v>
      </c>
      <c r="C6" t="s">
        <v>74</v>
      </c>
      <c r="D6" t="s">
        <v>75</v>
      </c>
      <c r="E6" s="7">
        <v>0</v>
      </c>
      <c r="F6" s="7">
        <v>0</v>
      </c>
      <c r="G6" s="6">
        <v>28.5</v>
      </c>
      <c r="H6" s="6">
        <v>22.91</v>
      </c>
      <c r="I6" s="6">
        <v>37.549999999999997</v>
      </c>
      <c r="J6" s="6">
        <v>81.64</v>
      </c>
      <c r="K6" s="6">
        <v>13.24</v>
      </c>
      <c r="L6" s="6">
        <v>410.31</v>
      </c>
      <c r="M6" s="6">
        <v>100.29</v>
      </c>
      <c r="N6" s="6">
        <v>10.76</v>
      </c>
      <c r="O6" s="6">
        <v>19.64</v>
      </c>
      <c r="P6" s="6">
        <v>2.42</v>
      </c>
      <c r="Q6" t="s">
        <v>64</v>
      </c>
      <c r="R6" t="s">
        <v>65</v>
      </c>
      <c r="S6" t="s">
        <v>65</v>
      </c>
      <c r="T6" t="s">
        <v>66</v>
      </c>
      <c r="U6" t="s">
        <v>67</v>
      </c>
    </row>
    <row r="7" spans="1:21">
      <c r="A7">
        <v>2000</v>
      </c>
      <c r="B7">
        <v>6</v>
      </c>
      <c r="C7" t="s">
        <v>76</v>
      </c>
      <c r="D7" t="s">
        <v>77</v>
      </c>
      <c r="E7" s="7">
        <v>0</v>
      </c>
      <c r="F7" s="7">
        <v>0</v>
      </c>
      <c r="G7" s="6">
        <v>28.32</v>
      </c>
      <c r="H7" s="6">
        <v>25.14</v>
      </c>
      <c r="I7" s="6">
        <v>33.159999999999997</v>
      </c>
      <c r="J7" s="6">
        <v>88.86</v>
      </c>
      <c r="K7" s="6">
        <v>7.83</v>
      </c>
      <c r="L7" s="6">
        <v>234.8</v>
      </c>
      <c r="M7" s="6">
        <v>100.05</v>
      </c>
      <c r="N7" s="6">
        <v>12.21</v>
      </c>
      <c r="O7" s="6">
        <v>21.46</v>
      </c>
      <c r="P7" s="6">
        <v>2.98</v>
      </c>
      <c r="Q7" t="s">
        <v>64</v>
      </c>
      <c r="R7" t="s">
        <v>65</v>
      </c>
      <c r="S7" t="s">
        <v>65</v>
      </c>
      <c r="T7" t="s">
        <v>66</v>
      </c>
      <c r="U7" t="s">
        <v>67</v>
      </c>
    </row>
    <row r="8" spans="1:21">
      <c r="A8">
        <v>2000</v>
      </c>
      <c r="B8">
        <v>7</v>
      </c>
      <c r="C8" t="s">
        <v>78</v>
      </c>
      <c r="D8" t="s">
        <v>79</v>
      </c>
      <c r="E8" s="7">
        <v>565</v>
      </c>
      <c r="F8" s="7">
        <v>15</v>
      </c>
      <c r="G8" s="6">
        <v>28.22</v>
      </c>
      <c r="H8" s="6">
        <v>25.28</v>
      </c>
      <c r="I8" s="6">
        <v>32.94</v>
      </c>
      <c r="J8" s="6">
        <v>88.79</v>
      </c>
      <c r="K8" s="6">
        <v>6.49</v>
      </c>
      <c r="L8" s="6">
        <v>201.24</v>
      </c>
      <c r="M8" s="6">
        <v>99.93</v>
      </c>
      <c r="N8" s="6">
        <v>11.88</v>
      </c>
      <c r="O8" s="6">
        <v>21.34</v>
      </c>
      <c r="P8" s="6">
        <v>3.11</v>
      </c>
      <c r="Q8" t="s">
        <v>64</v>
      </c>
      <c r="R8" t="s">
        <v>65</v>
      </c>
      <c r="S8" t="s">
        <v>65</v>
      </c>
      <c r="T8" t="s">
        <v>66</v>
      </c>
      <c r="U8" t="s">
        <v>67</v>
      </c>
    </row>
    <row r="9" spans="1:21">
      <c r="A9">
        <v>2000</v>
      </c>
      <c r="B9">
        <v>8</v>
      </c>
      <c r="C9" t="s">
        <v>80</v>
      </c>
      <c r="D9" t="s">
        <v>81</v>
      </c>
      <c r="E9" s="7">
        <v>2290</v>
      </c>
      <c r="F9" s="7">
        <v>33</v>
      </c>
      <c r="G9" s="6">
        <v>28.01</v>
      </c>
      <c r="H9" s="6">
        <v>25.34</v>
      </c>
      <c r="I9" s="6">
        <v>32.75</v>
      </c>
      <c r="J9" s="6">
        <v>90.03</v>
      </c>
      <c r="K9" s="6">
        <v>12.69</v>
      </c>
      <c r="L9" s="6">
        <v>393.3</v>
      </c>
      <c r="M9" s="6">
        <v>100.09</v>
      </c>
      <c r="N9" s="6">
        <v>12.92</v>
      </c>
      <c r="O9" s="6">
        <v>21.37</v>
      </c>
      <c r="P9" s="6">
        <v>2.73</v>
      </c>
      <c r="Q9" t="s">
        <v>64</v>
      </c>
      <c r="R9" t="s">
        <v>65</v>
      </c>
      <c r="S9" t="s">
        <v>65</v>
      </c>
      <c r="T9" t="s">
        <v>66</v>
      </c>
      <c r="U9" t="s">
        <v>67</v>
      </c>
    </row>
    <row r="10" spans="1:21">
      <c r="A10">
        <v>2000</v>
      </c>
      <c r="B10">
        <v>9</v>
      </c>
      <c r="C10" t="s">
        <v>82</v>
      </c>
      <c r="D10" t="s">
        <v>83</v>
      </c>
      <c r="E10" s="7">
        <v>951</v>
      </c>
      <c r="F10" s="7">
        <v>18</v>
      </c>
      <c r="G10" s="6">
        <v>27.13</v>
      </c>
      <c r="H10" s="6">
        <v>22.53</v>
      </c>
      <c r="I10" s="6">
        <v>32.04</v>
      </c>
      <c r="J10" s="6">
        <v>89.49</v>
      </c>
      <c r="K10" s="6">
        <v>5.08</v>
      </c>
      <c r="L10" s="6">
        <v>152.38</v>
      </c>
      <c r="M10" s="6">
        <v>100.42</v>
      </c>
      <c r="N10" s="6">
        <v>11.25</v>
      </c>
      <c r="O10" s="6">
        <v>20.12</v>
      </c>
      <c r="P10" s="6">
        <v>2.23</v>
      </c>
      <c r="Q10" t="s">
        <v>64</v>
      </c>
      <c r="R10" t="s">
        <v>65</v>
      </c>
      <c r="S10" t="s">
        <v>65</v>
      </c>
      <c r="T10" t="s">
        <v>66</v>
      </c>
      <c r="U10" t="s">
        <v>67</v>
      </c>
    </row>
    <row r="11" spans="1:21">
      <c r="A11">
        <v>2000</v>
      </c>
      <c r="B11">
        <v>10</v>
      </c>
      <c r="C11" t="s">
        <v>84</v>
      </c>
      <c r="D11" t="s">
        <v>85</v>
      </c>
      <c r="E11" s="7">
        <v>835</v>
      </c>
      <c r="F11" s="7">
        <v>14</v>
      </c>
      <c r="G11" s="6">
        <v>26.77</v>
      </c>
      <c r="H11" s="6">
        <v>19.41</v>
      </c>
      <c r="I11" s="6">
        <v>32.61</v>
      </c>
      <c r="J11" s="6">
        <v>83.81</v>
      </c>
      <c r="K11" s="6">
        <v>6.41</v>
      </c>
      <c r="L11" s="6">
        <v>198.72</v>
      </c>
      <c r="M11" s="6">
        <v>100.67</v>
      </c>
      <c r="N11" s="6">
        <v>9.14</v>
      </c>
      <c r="O11" s="6">
        <v>18.3</v>
      </c>
      <c r="P11" s="6">
        <v>1.39</v>
      </c>
      <c r="Q11" t="s">
        <v>64</v>
      </c>
      <c r="R11" t="s">
        <v>65</v>
      </c>
      <c r="S11" t="s">
        <v>65</v>
      </c>
      <c r="T11" t="s">
        <v>66</v>
      </c>
      <c r="U11" t="s">
        <v>67</v>
      </c>
    </row>
    <row r="12" spans="1:21">
      <c r="A12">
        <v>2000</v>
      </c>
      <c r="B12">
        <v>11</v>
      </c>
      <c r="C12" t="s">
        <v>86</v>
      </c>
      <c r="D12" t="s">
        <v>87</v>
      </c>
      <c r="E12" s="7">
        <v>724</v>
      </c>
      <c r="F12" s="7">
        <v>11</v>
      </c>
      <c r="G12" s="6">
        <v>22.52</v>
      </c>
      <c r="H12" s="6">
        <v>15.06</v>
      </c>
      <c r="I12" s="6">
        <v>29.68</v>
      </c>
      <c r="J12" s="6">
        <v>77.47</v>
      </c>
      <c r="K12" s="6">
        <v>0.35</v>
      </c>
      <c r="L12" s="6">
        <v>10.46</v>
      </c>
      <c r="M12" s="6">
        <v>101.17</v>
      </c>
      <c r="N12" s="6">
        <v>5.43</v>
      </c>
      <c r="O12" s="6">
        <v>12.94</v>
      </c>
      <c r="P12" s="6">
        <v>1.31</v>
      </c>
      <c r="Q12" t="s">
        <v>64</v>
      </c>
      <c r="R12" t="s">
        <v>65</v>
      </c>
      <c r="S12" t="s">
        <v>65</v>
      </c>
      <c r="T12" t="s">
        <v>66</v>
      </c>
      <c r="U12" t="s">
        <v>67</v>
      </c>
    </row>
    <row r="13" spans="1:21">
      <c r="A13">
        <v>2000</v>
      </c>
      <c r="B13">
        <v>12</v>
      </c>
      <c r="C13" t="s">
        <v>88</v>
      </c>
      <c r="D13" t="s">
        <v>89</v>
      </c>
      <c r="E13" s="7">
        <v>186</v>
      </c>
      <c r="F13" s="7">
        <v>2</v>
      </c>
      <c r="G13" s="6">
        <v>18.12</v>
      </c>
      <c r="H13" s="6">
        <v>10.78</v>
      </c>
      <c r="I13" s="6">
        <v>26.35</v>
      </c>
      <c r="J13" s="6">
        <v>70.959999999999994</v>
      </c>
      <c r="K13" s="6">
        <v>0</v>
      </c>
      <c r="L13" s="6">
        <v>0.04</v>
      </c>
      <c r="M13" s="6">
        <v>101.32</v>
      </c>
      <c r="N13" s="6">
        <v>7.37</v>
      </c>
      <c r="O13" s="6">
        <v>8.85</v>
      </c>
      <c r="P13" s="6">
        <v>1.4</v>
      </c>
      <c r="Q13" t="s">
        <v>64</v>
      </c>
      <c r="R13" t="s">
        <v>65</v>
      </c>
      <c r="S13" t="s">
        <v>65</v>
      </c>
      <c r="T13" t="s">
        <v>66</v>
      </c>
      <c r="U13" t="s">
        <v>67</v>
      </c>
    </row>
    <row r="14" spans="1:21">
      <c r="A14">
        <v>2001</v>
      </c>
      <c r="B14">
        <v>1</v>
      </c>
      <c r="C14" t="s">
        <v>62</v>
      </c>
      <c r="D14" t="s">
        <v>90</v>
      </c>
      <c r="E14" s="7">
        <v>0</v>
      </c>
      <c r="F14" s="7">
        <v>0</v>
      </c>
      <c r="G14" s="6">
        <v>16.59</v>
      </c>
      <c r="H14" s="6">
        <v>8.2100000000000009</v>
      </c>
      <c r="I14" s="6">
        <v>27.58</v>
      </c>
      <c r="J14" s="6">
        <v>58.98</v>
      </c>
      <c r="K14" s="6">
        <v>0</v>
      </c>
      <c r="L14" s="6">
        <v>0.01</v>
      </c>
      <c r="M14" s="6">
        <v>101.26</v>
      </c>
      <c r="N14" s="6">
        <v>7.42</v>
      </c>
      <c r="O14" s="6">
        <v>6.62</v>
      </c>
      <c r="P14" s="6">
        <v>1.66</v>
      </c>
      <c r="Q14" t="s">
        <v>64</v>
      </c>
      <c r="R14" t="s">
        <v>65</v>
      </c>
      <c r="S14" t="s">
        <v>65</v>
      </c>
      <c r="T14" t="s">
        <v>66</v>
      </c>
      <c r="U14" t="s">
        <v>67</v>
      </c>
    </row>
    <row r="15" spans="1:21">
      <c r="A15">
        <v>2001</v>
      </c>
      <c r="B15">
        <v>2</v>
      </c>
      <c r="C15" t="s">
        <v>68</v>
      </c>
      <c r="D15" t="s">
        <v>91</v>
      </c>
      <c r="E15" s="7">
        <v>0</v>
      </c>
      <c r="F15" s="7">
        <v>0</v>
      </c>
      <c r="G15" s="6">
        <v>22.19</v>
      </c>
      <c r="H15" s="6">
        <v>11.16</v>
      </c>
      <c r="I15" s="6">
        <v>32.69</v>
      </c>
      <c r="J15" s="6">
        <v>48.82</v>
      </c>
      <c r="K15" s="6">
        <v>1.08</v>
      </c>
      <c r="L15" s="6">
        <v>30.15</v>
      </c>
      <c r="M15" s="6">
        <v>101.02</v>
      </c>
      <c r="N15" s="6">
        <v>9.82</v>
      </c>
      <c r="O15" s="6">
        <v>7.86</v>
      </c>
      <c r="P15" s="6">
        <v>1.47</v>
      </c>
      <c r="Q15" t="s">
        <v>64</v>
      </c>
      <c r="R15" t="s">
        <v>65</v>
      </c>
      <c r="S15" t="s">
        <v>65</v>
      </c>
      <c r="T15" t="s">
        <v>66</v>
      </c>
      <c r="U15" t="s">
        <v>67</v>
      </c>
    </row>
    <row r="16" spans="1:21">
      <c r="A16">
        <v>2001</v>
      </c>
      <c r="B16">
        <v>3</v>
      </c>
      <c r="C16" t="s">
        <v>70</v>
      </c>
      <c r="D16" t="s">
        <v>92</v>
      </c>
      <c r="E16" s="7">
        <v>0</v>
      </c>
      <c r="F16" s="7">
        <v>0</v>
      </c>
      <c r="G16" s="6">
        <v>26.9</v>
      </c>
      <c r="H16" s="6">
        <v>15.67</v>
      </c>
      <c r="I16" s="6">
        <v>38.119999999999997</v>
      </c>
      <c r="J16" s="6">
        <v>45.16</v>
      </c>
      <c r="K16" s="6">
        <v>0.61</v>
      </c>
      <c r="L16" s="6">
        <v>18.760000000000002</v>
      </c>
      <c r="M16" s="6">
        <v>100.87</v>
      </c>
      <c r="N16" s="6">
        <v>9.32</v>
      </c>
      <c r="O16" s="6">
        <v>9.36</v>
      </c>
      <c r="P16" s="6">
        <v>1.78</v>
      </c>
      <c r="Q16" t="s">
        <v>64</v>
      </c>
      <c r="R16" t="s">
        <v>65</v>
      </c>
      <c r="S16" t="s">
        <v>65</v>
      </c>
      <c r="T16" t="s">
        <v>66</v>
      </c>
      <c r="U16" t="s">
        <v>67</v>
      </c>
    </row>
    <row r="17" spans="1:21">
      <c r="A17">
        <v>2001</v>
      </c>
      <c r="B17">
        <v>4</v>
      </c>
      <c r="C17" t="s">
        <v>72</v>
      </c>
      <c r="D17" t="s">
        <v>93</v>
      </c>
      <c r="E17" s="7">
        <v>0</v>
      </c>
      <c r="F17" s="7">
        <v>0</v>
      </c>
      <c r="G17" s="6">
        <v>30.74</v>
      </c>
      <c r="H17" s="6">
        <v>21.52</v>
      </c>
      <c r="I17" s="6">
        <v>40.98</v>
      </c>
      <c r="J17" s="6">
        <v>53.14</v>
      </c>
      <c r="K17" s="6">
        <v>2.15</v>
      </c>
      <c r="L17" s="6">
        <v>64.540000000000006</v>
      </c>
      <c r="M17" s="6">
        <v>100.63</v>
      </c>
      <c r="N17" s="6">
        <v>12.37</v>
      </c>
      <c r="O17" s="6">
        <v>13.61</v>
      </c>
      <c r="P17" s="6">
        <v>2.48</v>
      </c>
      <c r="Q17" t="s">
        <v>64</v>
      </c>
      <c r="R17" t="s">
        <v>65</v>
      </c>
      <c r="S17" t="s">
        <v>65</v>
      </c>
      <c r="T17" t="s">
        <v>66</v>
      </c>
      <c r="U17" t="s">
        <v>67</v>
      </c>
    </row>
    <row r="18" spans="1:21">
      <c r="A18">
        <v>2001</v>
      </c>
      <c r="B18">
        <v>5</v>
      </c>
      <c r="C18" t="s">
        <v>74</v>
      </c>
      <c r="D18" t="s">
        <v>94</v>
      </c>
      <c r="E18" s="7">
        <v>5</v>
      </c>
      <c r="F18" s="7">
        <v>0</v>
      </c>
      <c r="G18" s="6">
        <v>28.67</v>
      </c>
      <c r="H18" s="6">
        <v>23.81</v>
      </c>
      <c r="I18" s="6">
        <v>35.619999999999997</v>
      </c>
      <c r="J18" s="6">
        <v>81.650000000000006</v>
      </c>
      <c r="K18" s="6">
        <v>11.39</v>
      </c>
      <c r="L18" s="6">
        <v>353.06</v>
      </c>
      <c r="M18" s="6">
        <v>100.24</v>
      </c>
      <c r="N18" s="6">
        <v>9.6199999999999992</v>
      </c>
      <c r="O18" s="6">
        <v>19.87</v>
      </c>
      <c r="P18" s="6">
        <v>2.44</v>
      </c>
      <c r="Q18" t="s">
        <v>64</v>
      </c>
      <c r="R18" t="s">
        <v>65</v>
      </c>
      <c r="S18" t="s">
        <v>65</v>
      </c>
      <c r="T18" t="s">
        <v>66</v>
      </c>
      <c r="U18" t="s">
        <v>67</v>
      </c>
    </row>
    <row r="19" spans="1:21">
      <c r="A19">
        <v>2001</v>
      </c>
      <c r="B19">
        <v>6</v>
      </c>
      <c r="C19" t="s">
        <v>76</v>
      </c>
      <c r="D19" t="s">
        <v>95</v>
      </c>
      <c r="E19" s="7">
        <v>24</v>
      </c>
      <c r="F19" s="7">
        <v>1</v>
      </c>
      <c r="G19" s="6">
        <v>27.89</v>
      </c>
      <c r="H19" s="6">
        <v>24.32</v>
      </c>
      <c r="I19" s="6">
        <v>32.71</v>
      </c>
      <c r="J19" s="6">
        <v>90.49</v>
      </c>
      <c r="K19" s="6">
        <v>16.66</v>
      </c>
      <c r="L19" s="6">
        <v>499.77</v>
      </c>
      <c r="M19" s="6">
        <v>99.93</v>
      </c>
      <c r="N19" s="6">
        <v>14.17</v>
      </c>
      <c r="O19" s="6">
        <v>21.38</v>
      </c>
      <c r="P19" s="6">
        <v>3.48</v>
      </c>
      <c r="Q19" t="s">
        <v>64</v>
      </c>
      <c r="R19" t="s">
        <v>65</v>
      </c>
      <c r="S19" t="s">
        <v>65</v>
      </c>
      <c r="T19" t="s">
        <v>66</v>
      </c>
      <c r="U19" t="s">
        <v>67</v>
      </c>
    </row>
    <row r="20" spans="1:21">
      <c r="A20">
        <v>2001</v>
      </c>
      <c r="B20">
        <v>7</v>
      </c>
      <c r="C20" t="s">
        <v>78</v>
      </c>
      <c r="D20" t="s">
        <v>96</v>
      </c>
      <c r="E20" s="7">
        <v>152</v>
      </c>
      <c r="F20" s="7">
        <v>0</v>
      </c>
      <c r="G20" s="6">
        <v>27.95</v>
      </c>
      <c r="H20" s="6">
        <v>25.16</v>
      </c>
      <c r="I20" s="6">
        <v>31.64</v>
      </c>
      <c r="J20" s="6">
        <v>90.73</v>
      </c>
      <c r="K20" s="6">
        <v>10.54</v>
      </c>
      <c r="L20" s="6">
        <v>326.87</v>
      </c>
      <c r="M20" s="6">
        <v>99.96</v>
      </c>
      <c r="N20" s="6">
        <v>10.119999999999999</v>
      </c>
      <c r="O20" s="6">
        <v>21.51</v>
      </c>
      <c r="P20" s="6">
        <v>3.4</v>
      </c>
      <c r="Q20" t="s">
        <v>64</v>
      </c>
      <c r="R20" t="s">
        <v>65</v>
      </c>
      <c r="S20" t="s">
        <v>65</v>
      </c>
      <c r="T20" t="s">
        <v>66</v>
      </c>
      <c r="U20" t="s">
        <v>67</v>
      </c>
    </row>
    <row r="21" spans="1:21">
      <c r="A21">
        <v>2001</v>
      </c>
      <c r="B21">
        <v>8</v>
      </c>
      <c r="C21" t="s">
        <v>80</v>
      </c>
      <c r="D21" t="s">
        <v>97</v>
      </c>
      <c r="E21" s="7">
        <v>310</v>
      </c>
      <c r="F21" s="7">
        <v>6</v>
      </c>
      <c r="G21" s="6">
        <v>28.26</v>
      </c>
      <c r="H21" s="6">
        <v>25.51</v>
      </c>
      <c r="I21" s="6">
        <v>32.56</v>
      </c>
      <c r="J21" s="6">
        <v>90.08</v>
      </c>
      <c r="K21" s="6">
        <v>6.33</v>
      </c>
      <c r="L21" s="6">
        <v>196.37</v>
      </c>
      <c r="M21" s="6">
        <v>100.08</v>
      </c>
      <c r="N21" s="6">
        <v>11.53</v>
      </c>
      <c r="O21" s="6">
        <v>21.7</v>
      </c>
      <c r="P21" s="6">
        <v>2.62</v>
      </c>
      <c r="Q21" t="s">
        <v>64</v>
      </c>
      <c r="R21" t="s">
        <v>65</v>
      </c>
      <c r="S21" t="s">
        <v>65</v>
      </c>
      <c r="T21" t="s">
        <v>66</v>
      </c>
      <c r="U21" t="s">
        <v>67</v>
      </c>
    </row>
    <row r="22" spans="1:21">
      <c r="A22">
        <v>2001</v>
      </c>
      <c r="B22">
        <v>9</v>
      </c>
      <c r="C22" t="s">
        <v>82</v>
      </c>
      <c r="D22" t="s">
        <v>98</v>
      </c>
      <c r="E22" s="7">
        <v>655</v>
      </c>
      <c r="F22" s="7">
        <v>11</v>
      </c>
      <c r="G22" s="6">
        <v>27.88</v>
      </c>
      <c r="H22" s="6">
        <v>24.04</v>
      </c>
      <c r="I22" s="6">
        <v>32.89</v>
      </c>
      <c r="J22" s="6">
        <v>86.83</v>
      </c>
      <c r="K22" s="6">
        <v>5.94</v>
      </c>
      <c r="L22" s="6">
        <v>178.23</v>
      </c>
      <c r="M22" s="6">
        <v>100.46</v>
      </c>
      <c r="N22" s="6">
        <v>8.85</v>
      </c>
      <c r="O22" s="6">
        <v>20.32</v>
      </c>
      <c r="P22" s="6">
        <v>1.98</v>
      </c>
      <c r="Q22" t="s">
        <v>64</v>
      </c>
      <c r="R22" t="s">
        <v>65</v>
      </c>
      <c r="S22" t="s">
        <v>65</v>
      </c>
      <c r="T22" t="s">
        <v>66</v>
      </c>
      <c r="U22" t="s">
        <v>67</v>
      </c>
    </row>
    <row r="23" spans="1:21">
      <c r="A23">
        <v>2001</v>
      </c>
      <c r="B23">
        <v>10</v>
      </c>
      <c r="C23" t="s">
        <v>84</v>
      </c>
      <c r="D23" t="s">
        <v>99</v>
      </c>
      <c r="E23" s="7">
        <v>611</v>
      </c>
      <c r="F23" s="7">
        <v>7</v>
      </c>
      <c r="G23" s="6">
        <v>26.63</v>
      </c>
      <c r="H23" s="6">
        <v>20.93</v>
      </c>
      <c r="I23" s="6">
        <v>31.11</v>
      </c>
      <c r="J23" s="6">
        <v>86.24</v>
      </c>
      <c r="K23" s="6">
        <v>6.52</v>
      </c>
      <c r="L23" s="6">
        <v>202.14</v>
      </c>
      <c r="M23" s="6">
        <v>100.83</v>
      </c>
      <c r="N23" s="6">
        <v>6.65</v>
      </c>
      <c r="O23" s="6">
        <v>18.690000000000001</v>
      </c>
      <c r="P23" s="6">
        <v>1.39</v>
      </c>
      <c r="Q23" t="s">
        <v>64</v>
      </c>
      <c r="R23" t="s">
        <v>65</v>
      </c>
      <c r="S23" t="s">
        <v>65</v>
      </c>
      <c r="T23" t="s">
        <v>66</v>
      </c>
      <c r="U23" t="s">
        <v>67</v>
      </c>
    </row>
    <row r="24" spans="1:21">
      <c r="A24">
        <v>2001</v>
      </c>
      <c r="B24">
        <v>11</v>
      </c>
      <c r="C24" t="s">
        <v>86</v>
      </c>
      <c r="D24" t="s">
        <v>100</v>
      </c>
      <c r="E24" s="7">
        <v>514</v>
      </c>
      <c r="F24" s="7">
        <v>14</v>
      </c>
      <c r="G24" s="6">
        <v>22.91</v>
      </c>
      <c r="H24" s="6">
        <v>13.88</v>
      </c>
      <c r="I24" s="6">
        <v>29.98</v>
      </c>
      <c r="J24" s="6">
        <v>80.180000000000007</v>
      </c>
      <c r="K24" s="6">
        <v>1.1000000000000001</v>
      </c>
      <c r="L24" s="6">
        <v>32.93</v>
      </c>
      <c r="M24" s="6">
        <v>101.28</v>
      </c>
      <c r="N24" s="6">
        <v>8.07</v>
      </c>
      <c r="O24" s="6">
        <v>13.8</v>
      </c>
      <c r="P24" s="6">
        <v>1.39</v>
      </c>
      <c r="Q24" t="s">
        <v>64</v>
      </c>
      <c r="R24" t="s">
        <v>65</v>
      </c>
      <c r="S24" t="s">
        <v>65</v>
      </c>
      <c r="T24" t="s">
        <v>66</v>
      </c>
      <c r="U24" t="s">
        <v>67</v>
      </c>
    </row>
    <row r="25" spans="1:21">
      <c r="A25">
        <v>2001</v>
      </c>
      <c r="B25">
        <v>12</v>
      </c>
      <c r="C25" t="s">
        <v>88</v>
      </c>
      <c r="D25" t="s">
        <v>101</v>
      </c>
      <c r="E25" s="7">
        <v>159</v>
      </c>
      <c r="F25" s="7">
        <v>5</v>
      </c>
      <c r="G25" s="6">
        <v>17.809999999999999</v>
      </c>
      <c r="H25" s="6">
        <v>10.47</v>
      </c>
      <c r="I25" s="6">
        <v>25.72</v>
      </c>
      <c r="J25" s="6">
        <v>73.989999999999995</v>
      </c>
      <c r="K25" s="6">
        <v>0.36</v>
      </c>
      <c r="L25" s="6">
        <v>11.04</v>
      </c>
      <c r="M25" s="6">
        <v>101.57</v>
      </c>
      <c r="N25" s="6">
        <v>7.2</v>
      </c>
      <c r="O25" s="6">
        <v>9.0500000000000007</v>
      </c>
      <c r="P25" s="6">
        <v>1.47</v>
      </c>
      <c r="Q25" t="s">
        <v>64</v>
      </c>
      <c r="R25" t="s">
        <v>65</v>
      </c>
      <c r="S25" t="s">
        <v>65</v>
      </c>
      <c r="T25" t="s">
        <v>66</v>
      </c>
      <c r="U25" t="s">
        <v>67</v>
      </c>
    </row>
    <row r="26" spans="1:21">
      <c r="A26">
        <v>2002</v>
      </c>
      <c r="B26">
        <v>1</v>
      </c>
      <c r="C26" t="s">
        <v>62</v>
      </c>
      <c r="D26" t="s">
        <v>102</v>
      </c>
      <c r="E26" s="7">
        <v>0</v>
      </c>
      <c r="F26" s="7">
        <v>0</v>
      </c>
      <c r="G26" s="6">
        <v>18.61</v>
      </c>
      <c r="H26" s="6">
        <v>9.49</v>
      </c>
      <c r="I26" s="6">
        <v>29.04</v>
      </c>
      <c r="J26" s="6">
        <v>64.48</v>
      </c>
      <c r="K26" s="6">
        <v>0.46</v>
      </c>
      <c r="L26" s="6">
        <v>14.27</v>
      </c>
      <c r="M26" s="6">
        <v>101.43</v>
      </c>
      <c r="N26" s="6">
        <v>8.23</v>
      </c>
      <c r="O26" s="6">
        <v>8.32</v>
      </c>
      <c r="P26" s="6">
        <v>1.46</v>
      </c>
      <c r="Q26" t="s">
        <v>64</v>
      </c>
      <c r="R26" t="s">
        <v>65</v>
      </c>
      <c r="S26" t="s">
        <v>65</v>
      </c>
      <c r="T26" t="s">
        <v>66</v>
      </c>
      <c r="U26" t="s">
        <v>67</v>
      </c>
    </row>
    <row r="27" spans="1:21">
      <c r="A27">
        <v>2002</v>
      </c>
      <c r="B27">
        <v>2</v>
      </c>
      <c r="C27" t="s">
        <v>68</v>
      </c>
      <c r="D27" t="s">
        <v>103</v>
      </c>
      <c r="E27" s="7">
        <v>0</v>
      </c>
      <c r="F27" s="7">
        <v>0</v>
      </c>
      <c r="G27" s="6">
        <v>21.86</v>
      </c>
      <c r="H27" s="6">
        <v>10.02</v>
      </c>
      <c r="I27" s="6">
        <v>33.090000000000003</v>
      </c>
      <c r="J27" s="6">
        <v>48.64</v>
      </c>
      <c r="K27" s="6">
        <v>0.03</v>
      </c>
      <c r="L27" s="6">
        <v>0.8</v>
      </c>
      <c r="M27" s="6">
        <v>101.42</v>
      </c>
      <c r="N27" s="6">
        <v>7.32</v>
      </c>
      <c r="O27" s="6">
        <v>7.46</v>
      </c>
      <c r="P27" s="6">
        <v>1.55</v>
      </c>
      <c r="Q27" t="s">
        <v>64</v>
      </c>
      <c r="R27" t="s">
        <v>65</v>
      </c>
      <c r="S27" t="s">
        <v>65</v>
      </c>
      <c r="T27" t="s">
        <v>66</v>
      </c>
      <c r="U27" t="s">
        <v>67</v>
      </c>
    </row>
    <row r="28" spans="1:21">
      <c r="A28">
        <v>2002</v>
      </c>
      <c r="B28">
        <v>3</v>
      </c>
      <c r="C28" t="s">
        <v>70</v>
      </c>
      <c r="D28" t="s">
        <v>104</v>
      </c>
      <c r="E28" s="7">
        <v>0</v>
      </c>
      <c r="F28" s="7">
        <v>0</v>
      </c>
      <c r="G28" s="6">
        <v>27.07</v>
      </c>
      <c r="H28" s="6">
        <v>15.66</v>
      </c>
      <c r="I28" s="6">
        <v>36.880000000000003</v>
      </c>
      <c r="J28" s="6">
        <v>49.27</v>
      </c>
      <c r="K28" s="6">
        <v>2.29</v>
      </c>
      <c r="L28" s="6">
        <v>70.849999999999994</v>
      </c>
      <c r="M28" s="6">
        <v>100.92</v>
      </c>
      <c r="N28" s="6">
        <v>10.119999999999999</v>
      </c>
      <c r="O28" s="6">
        <v>10.44</v>
      </c>
      <c r="P28" s="6">
        <v>1.71</v>
      </c>
      <c r="Q28" t="s">
        <v>64</v>
      </c>
      <c r="R28" t="s">
        <v>65</v>
      </c>
      <c r="S28" t="s">
        <v>65</v>
      </c>
      <c r="T28" t="s">
        <v>66</v>
      </c>
      <c r="U28" t="s">
        <v>67</v>
      </c>
    </row>
    <row r="29" spans="1:21">
      <c r="A29">
        <v>2002</v>
      </c>
      <c r="B29">
        <v>4</v>
      </c>
      <c r="C29" t="s">
        <v>72</v>
      </c>
      <c r="D29" t="s">
        <v>105</v>
      </c>
      <c r="E29" s="7">
        <v>0</v>
      </c>
      <c r="F29" s="7">
        <v>0</v>
      </c>
      <c r="G29" s="6">
        <v>29.44</v>
      </c>
      <c r="H29" s="6">
        <v>21.5</v>
      </c>
      <c r="I29" s="6">
        <v>38.76</v>
      </c>
      <c r="J29" s="6">
        <v>64.41</v>
      </c>
      <c r="K29" s="6">
        <v>3.7</v>
      </c>
      <c r="L29" s="6">
        <v>110.86</v>
      </c>
      <c r="M29" s="6">
        <v>100.66</v>
      </c>
      <c r="N29" s="6">
        <v>10.43</v>
      </c>
      <c r="O29" s="6">
        <v>15.68</v>
      </c>
      <c r="P29" s="6">
        <v>2.74</v>
      </c>
      <c r="Q29" t="s">
        <v>64</v>
      </c>
      <c r="R29" t="s">
        <v>65</v>
      </c>
      <c r="S29" t="s">
        <v>65</v>
      </c>
      <c r="T29" t="s">
        <v>66</v>
      </c>
      <c r="U29" t="s">
        <v>67</v>
      </c>
    </row>
    <row r="30" spans="1:21">
      <c r="A30">
        <v>2002</v>
      </c>
      <c r="B30">
        <v>5</v>
      </c>
      <c r="C30" t="s">
        <v>74</v>
      </c>
      <c r="D30" t="s">
        <v>106</v>
      </c>
      <c r="E30" s="7">
        <v>0</v>
      </c>
      <c r="F30" s="7">
        <v>0</v>
      </c>
      <c r="G30" s="6">
        <v>29.79</v>
      </c>
      <c r="H30" s="6">
        <v>24</v>
      </c>
      <c r="I30" s="6">
        <v>39.64</v>
      </c>
      <c r="J30" s="6">
        <v>75.52</v>
      </c>
      <c r="K30" s="6">
        <v>7.35</v>
      </c>
      <c r="L30" s="6">
        <v>228</v>
      </c>
      <c r="M30" s="6">
        <v>100.2</v>
      </c>
      <c r="N30" s="6">
        <v>10.7</v>
      </c>
      <c r="O30" s="6">
        <v>19.32</v>
      </c>
      <c r="P30" s="6">
        <v>2.91</v>
      </c>
      <c r="Q30" t="s">
        <v>64</v>
      </c>
      <c r="R30" t="s">
        <v>65</v>
      </c>
      <c r="S30" t="s">
        <v>65</v>
      </c>
      <c r="T30" t="s">
        <v>66</v>
      </c>
      <c r="U30" t="s">
        <v>67</v>
      </c>
    </row>
    <row r="31" spans="1:21">
      <c r="A31">
        <v>2002</v>
      </c>
      <c r="B31">
        <v>6</v>
      </c>
      <c r="C31" t="s">
        <v>76</v>
      </c>
      <c r="D31" t="s">
        <v>107</v>
      </c>
      <c r="E31" s="7">
        <v>0</v>
      </c>
      <c r="F31" s="7">
        <v>0</v>
      </c>
      <c r="G31" s="6">
        <v>28.49</v>
      </c>
      <c r="H31" s="6">
        <v>25.07</v>
      </c>
      <c r="I31" s="6">
        <v>34</v>
      </c>
      <c r="J31" s="6">
        <v>88.33</v>
      </c>
      <c r="K31" s="6">
        <v>13.33</v>
      </c>
      <c r="L31" s="6">
        <v>399.96</v>
      </c>
      <c r="M31" s="6">
        <v>100.08</v>
      </c>
      <c r="N31" s="6">
        <v>14.37</v>
      </c>
      <c r="O31" s="6">
        <v>21.52</v>
      </c>
      <c r="P31" s="6">
        <v>3.03</v>
      </c>
      <c r="Q31" t="s">
        <v>64</v>
      </c>
      <c r="R31" t="s">
        <v>65</v>
      </c>
      <c r="S31" t="s">
        <v>65</v>
      </c>
      <c r="T31" t="s">
        <v>66</v>
      </c>
      <c r="U31" t="s">
        <v>67</v>
      </c>
    </row>
    <row r="32" spans="1:21">
      <c r="A32">
        <v>2002</v>
      </c>
      <c r="B32">
        <v>7</v>
      </c>
      <c r="C32" t="s">
        <v>78</v>
      </c>
      <c r="D32" t="s">
        <v>108</v>
      </c>
      <c r="E32" s="7">
        <v>566</v>
      </c>
      <c r="F32" s="7">
        <v>12</v>
      </c>
      <c r="G32" s="6">
        <v>28.42</v>
      </c>
      <c r="H32" s="6">
        <v>25.48</v>
      </c>
      <c r="I32" s="6">
        <v>33.03</v>
      </c>
      <c r="J32" s="6">
        <v>90.81</v>
      </c>
      <c r="K32" s="6">
        <v>13.85</v>
      </c>
      <c r="L32" s="6">
        <v>429.38</v>
      </c>
      <c r="M32" s="6">
        <v>99.95</v>
      </c>
      <c r="N32" s="6">
        <v>12.25</v>
      </c>
      <c r="O32" s="6">
        <v>22.15</v>
      </c>
      <c r="P32" s="6">
        <v>2.87</v>
      </c>
      <c r="Q32" t="s">
        <v>64</v>
      </c>
      <c r="R32" t="s">
        <v>65</v>
      </c>
      <c r="S32" t="s">
        <v>65</v>
      </c>
      <c r="T32" t="s">
        <v>66</v>
      </c>
      <c r="U32" t="s">
        <v>67</v>
      </c>
    </row>
    <row r="33" spans="1:21">
      <c r="A33">
        <v>2002</v>
      </c>
      <c r="B33">
        <v>8</v>
      </c>
      <c r="C33" t="s">
        <v>80</v>
      </c>
      <c r="D33" t="s">
        <v>109</v>
      </c>
      <c r="E33" s="7">
        <v>3281</v>
      </c>
      <c r="F33" s="7">
        <v>28</v>
      </c>
      <c r="G33" s="6">
        <v>27.63</v>
      </c>
      <c r="H33" s="6">
        <v>24.75</v>
      </c>
      <c r="I33" s="6">
        <v>31.79</v>
      </c>
      <c r="J33" s="6">
        <v>90.79</v>
      </c>
      <c r="K33" s="6">
        <v>8.24</v>
      </c>
      <c r="L33" s="6">
        <v>255.33</v>
      </c>
      <c r="M33" s="6">
        <v>100.13</v>
      </c>
      <c r="N33" s="6">
        <v>10.72</v>
      </c>
      <c r="O33" s="6">
        <v>21.08</v>
      </c>
      <c r="P33" s="6">
        <v>2.65</v>
      </c>
      <c r="Q33" t="s">
        <v>64</v>
      </c>
      <c r="R33" t="s">
        <v>65</v>
      </c>
      <c r="S33" t="s">
        <v>65</v>
      </c>
      <c r="T33" t="s">
        <v>66</v>
      </c>
      <c r="U33" t="s">
        <v>67</v>
      </c>
    </row>
    <row r="34" spans="1:21">
      <c r="A34">
        <v>2002</v>
      </c>
      <c r="B34">
        <v>9</v>
      </c>
      <c r="C34" t="s">
        <v>82</v>
      </c>
      <c r="D34" t="s">
        <v>110</v>
      </c>
      <c r="E34" s="7">
        <v>1713</v>
      </c>
      <c r="F34" s="7">
        <v>10</v>
      </c>
      <c r="G34" s="6">
        <v>27.32</v>
      </c>
      <c r="H34" s="6">
        <v>23.21</v>
      </c>
      <c r="I34" s="6">
        <v>32.6</v>
      </c>
      <c r="J34" s="6">
        <v>88.35</v>
      </c>
      <c r="K34" s="6">
        <v>5.85</v>
      </c>
      <c r="L34" s="6">
        <v>175.5</v>
      </c>
      <c r="M34" s="6">
        <v>100.56</v>
      </c>
      <c r="N34" s="6">
        <v>9.86</v>
      </c>
      <c r="O34" s="6">
        <v>20</v>
      </c>
      <c r="P34" s="6">
        <v>1.89</v>
      </c>
      <c r="Q34" t="s">
        <v>64</v>
      </c>
      <c r="R34" t="s">
        <v>65</v>
      </c>
      <c r="S34" t="s">
        <v>65</v>
      </c>
      <c r="T34" t="s">
        <v>66</v>
      </c>
      <c r="U34" t="s">
        <v>67</v>
      </c>
    </row>
    <row r="35" spans="1:21">
      <c r="A35">
        <v>2002</v>
      </c>
      <c r="B35">
        <v>10</v>
      </c>
      <c r="C35" t="s">
        <v>84</v>
      </c>
      <c r="D35" t="s">
        <v>111</v>
      </c>
      <c r="E35" s="7">
        <v>541</v>
      </c>
      <c r="F35" s="7">
        <v>7</v>
      </c>
      <c r="G35" s="6">
        <v>25.79</v>
      </c>
      <c r="H35" s="6">
        <v>18.02</v>
      </c>
      <c r="I35" s="6">
        <v>32.409999999999997</v>
      </c>
      <c r="J35" s="6">
        <v>81.78</v>
      </c>
      <c r="K35" s="6">
        <v>1.65</v>
      </c>
      <c r="L35" s="6">
        <v>51.27</v>
      </c>
      <c r="M35" s="6">
        <v>100.92</v>
      </c>
      <c r="N35" s="6">
        <v>8.4</v>
      </c>
      <c r="O35" s="6">
        <v>16.89</v>
      </c>
      <c r="P35" s="6">
        <v>1.46</v>
      </c>
      <c r="Q35" t="s">
        <v>64</v>
      </c>
      <c r="R35" t="s">
        <v>65</v>
      </c>
      <c r="S35" t="s">
        <v>65</v>
      </c>
      <c r="T35" t="s">
        <v>66</v>
      </c>
      <c r="U35" t="s">
        <v>67</v>
      </c>
    </row>
    <row r="36" spans="1:21">
      <c r="A36">
        <v>2002</v>
      </c>
      <c r="B36">
        <v>11</v>
      </c>
      <c r="C36" t="s">
        <v>86</v>
      </c>
      <c r="D36" t="s">
        <v>112</v>
      </c>
      <c r="E36" s="7">
        <v>121</v>
      </c>
      <c r="F36" s="7">
        <v>1</v>
      </c>
      <c r="G36" s="6">
        <v>22.71</v>
      </c>
      <c r="H36" s="6">
        <v>15.27</v>
      </c>
      <c r="I36" s="6">
        <v>30.16</v>
      </c>
      <c r="J36" s="6">
        <v>79.23</v>
      </c>
      <c r="K36" s="6">
        <v>4.04</v>
      </c>
      <c r="L36" s="6">
        <v>121.33</v>
      </c>
      <c r="M36" s="6">
        <v>101.17</v>
      </c>
      <c r="N36" s="6">
        <v>9.7200000000000006</v>
      </c>
      <c r="O36" s="6">
        <v>13.42</v>
      </c>
      <c r="P36" s="6">
        <v>1.49</v>
      </c>
      <c r="Q36" t="s">
        <v>64</v>
      </c>
      <c r="R36" t="s">
        <v>65</v>
      </c>
      <c r="S36" t="s">
        <v>65</v>
      </c>
      <c r="T36" t="s">
        <v>66</v>
      </c>
      <c r="U36" t="s">
        <v>67</v>
      </c>
    </row>
    <row r="37" spans="1:21">
      <c r="A37">
        <v>2002</v>
      </c>
      <c r="B37">
        <v>12</v>
      </c>
      <c r="C37" t="s">
        <v>88</v>
      </c>
      <c r="D37" t="s">
        <v>113</v>
      </c>
      <c r="E37" s="7">
        <v>10</v>
      </c>
      <c r="F37" s="7">
        <v>0</v>
      </c>
      <c r="G37" s="6">
        <v>18.96</v>
      </c>
      <c r="H37" s="6">
        <v>9.7799999999999994</v>
      </c>
      <c r="I37" s="6">
        <v>27.04</v>
      </c>
      <c r="J37" s="6">
        <v>73.36</v>
      </c>
      <c r="K37" s="6">
        <v>0.14000000000000001</v>
      </c>
      <c r="L37" s="6">
        <v>4.26</v>
      </c>
      <c r="M37" s="6">
        <v>101.42</v>
      </c>
      <c r="N37" s="6">
        <v>6.84</v>
      </c>
      <c r="O37" s="6">
        <v>9.74</v>
      </c>
      <c r="P37" s="6">
        <v>1.38</v>
      </c>
      <c r="Q37" t="s">
        <v>64</v>
      </c>
      <c r="R37" t="s">
        <v>65</v>
      </c>
      <c r="S37" t="s">
        <v>65</v>
      </c>
      <c r="T37" t="s">
        <v>66</v>
      </c>
      <c r="U37" t="s">
        <v>67</v>
      </c>
    </row>
    <row r="38" spans="1:21">
      <c r="A38">
        <v>2003</v>
      </c>
      <c r="B38">
        <v>1</v>
      </c>
      <c r="C38" t="s">
        <v>62</v>
      </c>
      <c r="D38" t="s">
        <v>114</v>
      </c>
      <c r="E38" s="7">
        <v>0</v>
      </c>
      <c r="F38" s="7">
        <v>0</v>
      </c>
      <c r="G38" s="6">
        <v>16.5</v>
      </c>
      <c r="H38" s="6">
        <v>7.81</v>
      </c>
      <c r="I38" s="6">
        <v>27.15</v>
      </c>
      <c r="J38" s="6">
        <v>64.56</v>
      </c>
      <c r="K38" s="6">
        <v>0.62</v>
      </c>
      <c r="L38" s="6">
        <v>19.079999999999998</v>
      </c>
      <c r="M38" s="6">
        <v>101.57</v>
      </c>
      <c r="N38" s="6">
        <v>8.0399999999999991</v>
      </c>
      <c r="O38" s="6">
        <v>7.17</v>
      </c>
      <c r="P38" s="6">
        <v>1.77</v>
      </c>
      <c r="Q38" t="s">
        <v>64</v>
      </c>
      <c r="R38" t="s">
        <v>65</v>
      </c>
      <c r="S38" t="s">
        <v>65</v>
      </c>
      <c r="T38" t="s">
        <v>66</v>
      </c>
      <c r="U38" t="s">
        <v>67</v>
      </c>
    </row>
    <row r="39" spans="1:21">
      <c r="A39">
        <v>2003</v>
      </c>
      <c r="B39">
        <v>2</v>
      </c>
      <c r="C39" t="s">
        <v>68</v>
      </c>
      <c r="D39" t="s">
        <v>115</v>
      </c>
      <c r="E39" s="7">
        <v>0</v>
      </c>
      <c r="F39" s="7">
        <v>0</v>
      </c>
      <c r="G39" s="6">
        <v>21.78</v>
      </c>
      <c r="H39" s="6">
        <v>12.43</v>
      </c>
      <c r="I39" s="6">
        <v>32.340000000000003</v>
      </c>
      <c r="J39" s="6">
        <v>58.69</v>
      </c>
      <c r="K39" s="6">
        <v>0.93</v>
      </c>
      <c r="L39" s="6">
        <v>26.04</v>
      </c>
      <c r="M39" s="6">
        <v>101.32</v>
      </c>
      <c r="N39" s="6">
        <v>8.1999999999999993</v>
      </c>
      <c r="O39" s="6">
        <v>9.0399999999999991</v>
      </c>
      <c r="P39" s="6">
        <v>1.59</v>
      </c>
      <c r="Q39" t="s">
        <v>64</v>
      </c>
      <c r="R39" t="s">
        <v>65</v>
      </c>
      <c r="S39" t="s">
        <v>65</v>
      </c>
      <c r="T39" t="s">
        <v>66</v>
      </c>
      <c r="U39" t="s">
        <v>67</v>
      </c>
    </row>
    <row r="40" spans="1:21">
      <c r="A40">
        <v>2003</v>
      </c>
      <c r="B40">
        <v>3</v>
      </c>
      <c r="C40" t="s">
        <v>70</v>
      </c>
      <c r="D40" t="s">
        <v>116</v>
      </c>
      <c r="E40" s="7">
        <v>0</v>
      </c>
      <c r="F40" s="7">
        <v>0</v>
      </c>
      <c r="G40" s="6">
        <v>25.32</v>
      </c>
      <c r="H40" s="6">
        <v>13.48</v>
      </c>
      <c r="I40" s="6">
        <v>35.89</v>
      </c>
      <c r="J40" s="6">
        <v>57.71</v>
      </c>
      <c r="K40" s="6">
        <v>3.64</v>
      </c>
      <c r="L40" s="6">
        <v>112.76</v>
      </c>
      <c r="M40" s="6">
        <v>101.03</v>
      </c>
      <c r="N40" s="6">
        <v>9.2100000000000009</v>
      </c>
      <c r="O40" s="6">
        <v>11.19</v>
      </c>
      <c r="P40" s="6">
        <v>1.56</v>
      </c>
      <c r="Q40" t="s">
        <v>64</v>
      </c>
      <c r="R40" t="s">
        <v>65</v>
      </c>
      <c r="S40" t="s">
        <v>65</v>
      </c>
      <c r="T40" t="s">
        <v>66</v>
      </c>
      <c r="U40" t="s">
        <v>67</v>
      </c>
    </row>
    <row r="41" spans="1:21">
      <c r="A41">
        <v>2003</v>
      </c>
      <c r="B41">
        <v>4</v>
      </c>
      <c r="C41" t="s">
        <v>72</v>
      </c>
      <c r="D41" t="s">
        <v>117</v>
      </c>
      <c r="E41" s="7">
        <v>2</v>
      </c>
      <c r="F41" s="7">
        <v>0</v>
      </c>
      <c r="G41" s="6">
        <v>29.73</v>
      </c>
      <c r="H41" s="6">
        <v>21.54</v>
      </c>
      <c r="I41" s="6">
        <v>37.96</v>
      </c>
      <c r="J41" s="6">
        <v>66.87</v>
      </c>
      <c r="K41" s="6">
        <v>3.59</v>
      </c>
      <c r="L41" s="6">
        <v>107.61</v>
      </c>
      <c r="M41" s="6">
        <v>100.68</v>
      </c>
      <c r="N41" s="6">
        <v>11.53</v>
      </c>
      <c r="O41" s="6">
        <v>16.64</v>
      </c>
      <c r="P41" s="6">
        <v>2.5099999999999998</v>
      </c>
      <c r="Q41" t="s">
        <v>64</v>
      </c>
      <c r="R41" t="s">
        <v>65</v>
      </c>
      <c r="S41" t="s">
        <v>65</v>
      </c>
      <c r="T41" t="s">
        <v>66</v>
      </c>
      <c r="U41" t="s">
        <v>67</v>
      </c>
    </row>
    <row r="42" spans="1:21">
      <c r="A42">
        <v>2003</v>
      </c>
      <c r="B42">
        <v>5</v>
      </c>
      <c r="C42" t="s">
        <v>74</v>
      </c>
      <c r="D42" t="s">
        <v>118</v>
      </c>
      <c r="E42" s="7">
        <v>1</v>
      </c>
      <c r="F42" s="7">
        <v>0</v>
      </c>
      <c r="G42" s="6">
        <v>30.76</v>
      </c>
      <c r="H42" s="6">
        <v>23.95</v>
      </c>
      <c r="I42" s="6">
        <v>40.1</v>
      </c>
      <c r="J42" s="6">
        <v>67.150000000000006</v>
      </c>
      <c r="K42" s="6">
        <v>3.98</v>
      </c>
      <c r="L42" s="6">
        <v>123.3</v>
      </c>
      <c r="M42" s="6">
        <v>100.32</v>
      </c>
      <c r="N42" s="6">
        <v>11.26</v>
      </c>
      <c r="O42" s="6">
        <v>17.920000000000002</v>
      </c>
      <c r="P42" s="6">
        <v>2.5499999999999998</v>
      </c>
      <c r="Q42" t="s">
        <v>64</v>
      </c>
      <c r="R42" t="s">
        <v>65</v>
      </c>
      <c r="S42" t="s">
        <v>65</v>
      </c>
      <c r="T42" t="s">
        <v>66</v>
      </c>
      <c r="U42" t="s">
        <v>67</v>
      </c>
    </row>
    <row r="43" spans="1:21">
      <c r="A43">
        <v>2003</v>
      </c>
      <c r="B43">
        <v>6</v>
      </c>
      <c r="C43" t="s">
        <v>76</v>
      </c>
      <c r="D43" t="s">
        <v>119</v>
      </c>
      <c r="E43" s="7">
        <v>0</v>
      </c>
      <c r="F43" s="7">
        <v>0</v>
      </c>
      <c r="G43" s="6">
        <v>28.71</v>
      </c>
      <c r="H43" s="6">
        <v>25.44</v>
      </c>
      <c r="I43" s="6">
        <v>39.07</v>
      </c>
      <c r="J43" s="6">
        <v>86.17</v>
      </c>
      <c r="K43" s="6">
        <v>16.89</v>
      </c>
      <c r="L43" s="6">
        <v>506.56</v>
      </c>
      <c r="M43" s="6">
        <v>99.9</v>
      </c>
      <c r="N43" s="6">
        <v>15.29</v>
      </c>
      <c r="O43" s="6">
        <v>21.13</v>
      </c>
      <c r="P43" s="6">
        <v>3.87</v>
      </c>
      <c r="Q43" t="s">
        <v>64</v>
      </c>
      <c r="R43" t="s">
        <v>65</v>
      </c>
      <c r="S43" t="s">
        <v>65</v>
      </c>
      <c r="T43" t="s">
        <v>66</v>
      </c>
      <c r="U43" t="s">
        <v>67</v>
      </c>
    </row>
    <row r="44" spans="1:21">
      <c r="A44">
        <v>2003</v>
      </c>
      <c r="B44">
        <v>7</v>
      </c>
      <c r="C44" t="s">
        <v>78</v>
      </c>
      <c r="D44" t="s">
        <v>120</v>
      </c>
      <c r="E44" s="7">
        <v>4</v>
      </c>
      <c r="F44" s="7">
        <v>0</v>
      </c>
      <c r="G44" s="6">
        <v>28.38</v>
      </c>
      <c r="H44" s="6">
        <v>25.88</v>
      </c>
      <c r="I44" s="6">
        <v>33.04</v>
      </c>
      <c r="J44" s="6">
        <v>89.63</v>
      </c>
      <c r="K44" s="6">
        <v>6.01</v>
      </c>
      <c r="L44" s="6">
        <v>186.19</v>
      </c>
      <c r="M44" s="6">
        <v>100.15</v>
      </c>
      <c r="N44" s="6">
        <v>10.84</v>
      </c>
      <c r="O44" s="6">
        <v>21.72</v>
      </c>
      <c r="P44" s="6">
        <v>3.04</v>
      </c>
      <c r="Q44" t="s">
        <v>64</v>
      </c>
      <c r="R44" t="s">
        <v>65</v>
      </c>
      <c r="S44" t="s">
        <v>65</v>
      </c>
      <c r="T44" t="s">
        <v>66</v>
      </c>
      <c r="U44" t="s">
        <v>67</v>
      </c>
    </row>
    <row r="45" spans="1:21">
      <c r="A45">
        <v>2003</v>
      </c>
      <c r="B45">
        <v>8</v>
      </c>
      <c r="C45" t="s">
        <v>80</v>
      </c>
      <c r="D45" t="s">
        <v>121</v>
      </c>
      <c r="E45" s="7">
        <v>4</v>
      </c>
      <c r="F45" s="7">
        <v>0</v>
      </c>
      <c r="G45" s="6">
        <v>28.52</v>
      </c>
      <c r="H45" s="6">
        <v>25.48</v>
      </c>
      <c r="I45" s="6">
        <v>33.31</v>
      </c>
      <c r="J45" s="6">
        <v>88.41</v>
      </c>
      <c r="K45" s="6">
        <v>5.84</v>
      </c>
      <c r="L45" s="6">
        <v>181.06</v>
      </c>
      <c r="M45" s="6">
        <v>100.15</v>
      </c>
      <c r="N45" s="6">
        <v>9.9499999999999993</v>
      </c>
      <c r="O45" s="6">
        <v>21.57</v>
      </c>
      <c r="P45" s="6">
        <v>2.76</v>
      </c>
      <c r="Q45" t="s">
        <v>64</v>
      </c>
      <c r="R45" t="s">
        <v>65</v>
      </c>
      <c r="S45" t="s">
        <v>65</v>
      </c>
      <c r="T45" t="s">
        <v>66</v>
      </c>
      <c r="U45" t="s">
        <v>67</v>
      </c>
    </row>
    <row r="46" spans="1:21">
      <c r="A46">
        <v>2003</v>
      </c>
      <c r="B46">
        <v>9</v>
      </c>
      <c r="C46" t="s">
        <v>82</v>
      </c>
      <c r="D46" t="s">
        <v>122</v>
      </c>
      <c r="E46" s="7">
        <v>3</v>
      </c>
      <c r="F46" s="7">
        <v>0</v>
      </c>
      <c r="G46" s="6">
        <v>27.79</v>
      </c>
      <c r="H46" s="6">
        <v>25.07</v>
      </c>
      <c r="I46" s="6">
        <v>32.04</v>
      </c>
      <c r="J46" s="6">
        <v>88.75</v>
      </c>
      <c r="K46" s="6">
        <v>6.16</v>
      </c>
      <c r="L46" s="6">
        <v>184.81</v>
      </c>
      <c r="M46" s="6">
        <v>100.42</v>
      </c>
      <c r="N46" s="6">
        <v>11.95</v>
      </c>
      <c r="O46" s="6">
        <v>20.71</v>
      </c>
      <c r="P46" s="6">
        <v>1.9</v>
      </c>
      <c r="Q46" t="s">
        <v>64</v>
      </c>
      <c r="R46" t="s">
        <v>65</v>
      </c>
      <c r="S46" t="s">
        <v>65</v>
      </c>
      <c r="T46" t="s">
        <v>66</v>
      </c>
      <c r="U46" t="s">
        <v>67</v>
      </c>
    </row>
    <row r="47" spans="1:21">
      <c r="A47">
        <v>2003</v>
      </c>
      <c r="B47">
        <v>10</v>
      </c>
      <c r="C47" t="s">
        <v>84</v>
      </c>
      <c r="D47" t="s">
        <v>123</v>
      </c>
      <c r="E47" s="7">
        <v>0</v>
      </c>
      <c r="F47" s="7">
        <v>0</v>
      </c>
      <c r="G47" s="6">
        <v>26.68</v>
      </c>
      <c r="H47" s="6">
        <v>21.28</v>
      </c>
      <c r="I47" s="6">
        <v>32.26</v>
      </c>
      <c r="J47" s="6">
        <v>84.92</v>
      </c>
      <c r="K47" s="6">
        <v>4.87</v>
      </c>
      <c r="L47" s="6">
        <v>150.9</v>
      </c>
      <c r="M47" s="6">
        <v>100.93</v>
      </c>
      <c r="N47" s="6">
        <v>8.9499999999999993</v>
      </c>
      <c r="O47" s="6">
        <v>18.43</v>
      </c>
      <c r="P47" s="6">
        <v>1.48</v>
      </c>
      <c r="Q47" t="s">
        <v>64</v>
      </c>
      <c r="R47" t="s">
        <v>65</v>
      </c>
      <c r="S47" t="s">
        <v>65</v>
      </c>
      <c r="T47" t="s">
        <v>66</v>
      </c>
      <c r="U47" t="s">
        <v>67</v>
      </c>
    </row>
    <row r="48" spans="1:21">
      <c r="A48">
        <v>2003</v>
      </c>
      <c r="B48">
        <v>11</v>
      </c>
      <c r="C48" t="s">
        <v>86</v>
      </c>
      <c r="D48" t="s">
        <v>124</v>
      </c>
      <c r="E48" s="7">
        <v>372</v>
      </c>
      <c r="F48" s="7">
        <v>8</v>
      </c>
      <c r="G48" s="6">
        <v>21.83</v>
      </c>
      <c r="H48" s="6">
        <v>13.59</v>
      </c>
      <c r="I48" s="6">
        <v>29.36</v>
      </c>
      <c r="J48" s="6">
        <v>78.099999999999994</v>
      </c>
      <c r="K48" s="6">
        <v>0.08</v>
      </c>
      <c r="L48" s="6">
        <v>2.37</v>
      </c>
      <c r="M48" s="6">
        <v>101.3</v>
      </c>
      <c r="N48" s="6">
        <v>6.07</v>
      </c>
      <c r="O48" s="6">
        <v>12.45</v>
      </c>
      <c r="P48" s="6">
        <v>1.47</v>
      </c>
      <c r="Q48" t="s">
        <v>64</v>
      </c>
      <c r="R48" t="s">
        <v>65</v>
      </c>
      <c r="S48" t="s">
        <v>65</v>
      </c>
      <c r="T48" t="s">
        <v>66</v>
      </c>
      <c r="U48" t="s">
        <v>67</v>
      </c>
    </row>
    <row r="49" spans="1:21">
      <c r="A49">
        <v>2003</v>
      </c>
      <c r="B49">
        <v>12</v>
      </c>
      <c r="C49" t="s">
        <v>88</v>
      </c>
      <c r="D49" t="s">
        <v>125</v>
      </c>
      <c r="E49" s="7">
        <v>100</v>
      </c>
      <c r="F49" s="7">
        <v>2</v>
      </c>
      <c r="G49" s="6">
        <v>18.91</v>
      </c>
      <c r="H49" s="6">
        <v>10.3</v>
      </c>
      <c r="I49" s="6">
        <v>27.47</v>
      </c>
      <c r="J49" s="6">
        <v>76.72</v>
      </c>
      <c r="K49" s="6">
        <v>1.28</v>
      </c>
      <c r="L49" s="6">
        <v>39.64</v>
      </c>
      <c r="M49" s="6">
        <v>101.5</v>
      </c>
      <c r="N49" s="6">
        <v>8.36</v>
      </c>
      <c r="O49" s="6">
        <v>10.130000000000001</v>
      </c>
      <c r="P49" s="6">
        <v>1.64</v>
      </c>
      <c r="Q49" t="s">
        <v>64</v>
      </c>
      <c r="R49" t="s">
        <v>65</v>
      </c>
      <c r="S49" t="s">
        <v>65</v>
      </c>
      <c r="T49" t="s">
        <v>66</v>
      </c>
      <c r="U49" t="s">
        <v>67</v>
      </c>
    </row>
    <row r="50" spans="1:21">
      <c r="A50">
        <v>2004</v>
      </c>
      <c r="B50">
        <v>1</v>
      </c>
      <c r="C50" t="s">
        <v>62</v>
      </c>
      <c r="D50" t="s">
        <v>126</v>
      </c>
      <c r="E50" s="7">
        <v>0</v>
      </c>
      <c r="F50" s="7">
        <v>0</v>
      </c>
      <c r="G50" s="6">
        <v>17.940000000000001</v>
      </c>
      <c r="H50" s="6">
        <v>8.11</v>
      </c>
      <c r="I50" s="6">
        <v>27.43</v>
      </c>
      <c r="J50" s="6">
        <v>67.88</v>
      </c>
      <c r="K50" s="6">
        <v>7.0000000000000007E-2</v>
      </c>
      <c r="L50" s="6">
        <v>2.2000000000000002</v>
      </c>
      <c r="M50" s="6">
        <v>101.43</v>
      </c>
      <c r="N50" s="6">
        <v>7.94</v>
      </c>
      <c r="O50" s="6">
        <v>8.35</v>
      </c>
      <c r="P50" s="6">
        <v>1.63</v>
      </c>
      <c r="Q50" t="s">
        <v>64</v>
      </c>
      <c r="R50" t="s">
        <v>65</v>
      </c>
      <c r="S50" t="s">
        <v>65</v>
      </c>
      <c r="T50" t="s">
        <v>66</v>
      </c>
      <c r="U50" t="s">
        <v>67</v>
      </c>
    </row>
    <row r="51" spans="1:21">
      <c r="A51">
        <v>2004</v>
      </c>
      <c r="B51">
        <v>2</v>
      </c>
      <c r="C51" t="s">
        <v>68</v>
      </c>
      <c r="D51" t="s">
        <v>127</v>
      </c>
      <c r="E51" s="7">
        <v>0</v>
      </c>
      <c r="F51" s="7">
        <v>0</v>
      </c>
      <c r="G51" s="6">
        <v>21.38</v>
      </c>
      <c r="H51" s="6">
        <v>9.9700000000000006</v>
      </c>
      <c r="I51" s="6">
        <v>34.450000000000003</v>
      </c>
      <c r="J51" s="6">
        <v>54.26</v>
      </c>
      <c r="K51" s="6">
        <v>0.09</v>
      </c>
      <c r="L51" s="6">
        <v>2.7</v>
      </c>
      <c r="M51" s="6">
        <v>101.25</v>
      </c>
      <c r="N51" s="6">
        <v>8.09</v>
      </c>
      <c r="O51" s="6">
        <v>8.08</v>
      </c>
      <c r="P51" s="6">
        <v>1.57</v>
      </c>
      <c r="Q51" t="s">
        <v>64</v>
      </c>
      <c r="R51" t="s">
        <v>65</v>
      </c>
      <c r="S51" t="s">
        <v>65</v>
      </c>
      <c r="T51" t="s">
        <v>66</v>
      </c>
      <c r="U51" t="s">
        <v>67</v>
      </c>
    </row>
    <row r="52" spans="1:21">
      <c r="A52">
        <v>2004</v>
      </c>
      <c r="B52">
        <v>3</v>
      </c>
      <c r="C52" t="s">
        <v>70</v>
      </c>
      <c r="D52" t="s">
        <v>128</v>
      </c>
      <c r="E52" s="7">
        <v>1</v>
      </c>
      <c r="F52" s="7">
        <v>0</v>
      </c>
      <c r="G52" s="6">
        <v>27.54</v>
      </c>
      <c r="H52" s="6">
        <v>15.56</v>
      </c>
      <c r="I52" s="6">
        <v>39.94</v>
      </c>
      <c r="J52" s="6">
        <v>53.06</v>
      </c>
      <c r="K52" s="6">
        <v>0.47</v>
      </c>
      <c r="L52" s="6">
        <v>14.57</v>
      </c>
      <c r="M52" s="6">
        <v>100.85</v>
      </c>
      <c r="N52" s="6">
        <v>11.33</v>
      </c>
      <c r="O52" s="6">
        <v>11.55</v>
      </c>
      <c r="P52" s="6">
        <v>2.5299999999999998</v>
      </c>
      <c r="Q52" t="s">
        <v>64</v>
      </c>
      <c r="R52" t="s">
        <v>65</v>
      </c>
      <c r="S52" t="s">
        <v>65</v>
      </c>
      <c r="T52" t="s">
        <v>66</v>
      </c>
      <c r="U52" t="s">
        <v>67</v>
      </c>
    </row>
    <row r="53" spans="1:21">
      <c r="A53">
        <v>2004</v>
      </c>
      <c r="B53">
        <v>4</v>
      </c>
      <c r="C53" t="s">
        <v>72</v>
      </c>
      <c r="D53" t="s">
        <v>129</v>
      </c>
      <c r="E53" s="7">
        <v>0</v>
      </c>
      <c r="F53" s="7">
        <v>0</v>
      </c>
      <c r="G53" s="6">
        <v>29.37</v>
      </c>
      <c r="H53" s="6">
        <v>22.19</v>
      </c>
      <c r="I53" s="6">
        <v>39.78</v>
      </c>
      <c r="J53" s="6">
        <v>67.86</v>
      </c>
      <c r="K53" s="6">
        <v>5.93</v>
      </c>
      <c r="L53" s="6">
        <v>177.77</v>
      </c>
      <c r="M53" s="6">
        <v>100.61</v>
      </c>
      <c r="N53" s="6">
        <v>14.71</v>
      </c>
      <c r="O53" s="6">
        <v>16.670000000000002</v>
      </c>
      <c r="P53" s="6">
        <v>3.09</v>
      </c>
      <c r="Q53" t="s">
        <v>64</v>
      </c>
      <c r="R53" t="s">
        <v>65</v>
      </c>
      <c r="S53" t="s">
        <v>65</v>
      </c>
      <c r="T53" t="s">
        <v>66</v>
      </c>
      <c r="U53" t="s">
        <v>67</v>
      </c>
    </row>
    <row r="54" spans="1:21">
      <c r="A54">
        <v>2004</v>
      </c>
      <c r="B54">
        <v>5</v>
      </c>
      <c r="C54" t="s">
        <v>74</v>
      </c>
      <c r="D54" t="s">
        <v>130</v>
      </c>
      <c r="E54" s="7">
        <v>1</v>
      </c>
      <c r="F54" s="7">
        <v>0</v>
      </c>
      <c r="G54" s="6">
        <v>30.74</v>
      </c>
      <c r="H54" s="6">
        <v>22.73</v>
      </c>
      <c r="I54" s="6">
        <v>40.32</v>
      </c>
      <c r="J54" s="6">
        <v>68.150000000000006</v>
      </c>
      <c r="K54" s="6">
        <v>3.83</v>
      </c>
      <c r="L54" s="6">
        <v>118.73</v>
      </c>
      <c r="M54" s="6">
        <v>100.24</v>
      </c>
      <c r="N54" s="6">
        <v>10.67</v>
      </c>
      <c r="O54" s="6">
        <v>18.2</v>
      </c>
      <c r="P54" s="6">
        <v>2.68</v>
      </c>
      <c r="Q54" t="s">
        <v>64</v>
      </c>
      <c r="R54" t="s">
        <v>65</v>
      </c>
      <c r="S54" t="s">
        <v>65</v>
      </c>
      <c r="T54" t="s">
        <v>66</v>
      </c>
      <c r="U54" t="s">
        <v>67</v>
      </c>
    </row>
    <row r="55" spans="1:21">
      <c r="A55">
        <v>2004</v>
      </c>
      <c r="B55">
        <v>6</v>
      </c>
      <c r="C55" t="s">
        <v>76</v>
      </c>
      <c r="D55" t="s">
        <v>131</v>
      </c>
      <c r="E55" s="7">
        <v>143</v>
      </c>
      <c r="F55" s="7">
        <v>0</v>
      </c>
      <c r="G55" s="6">
        <v>29.23</v>
      </c>
      <c r="H55" s="6">
        <v>25.25</v>
      </c>
      <c r="I55" s="6">
        <v>35.85</v>
      </c>
      <c r="J55" s="6">
        <v>81.81</v>
      </c>
      <c r="K55" s="6">
        <v>10.52</v>
      </c>
      <c r="L55" s="6">
        <v>315.61</v>
      </c>
      <c r="M55" s="6">
        <v>100.14</v>
      </c>
      <c r="N55" s="6">
        <v>13.81</v>
      </c>
      <c r="O55" s="6">
        <v>20.6</v>
      </c>
      <c r="P55" s="6">
        <v>2.6</v>
      </c>
      <c r="Q55" t="s">
        <v>64</v>
      </c>
      <c r="R55" t="s">
        <v>65</v>
      </c>
      <c r="S55" t="s">
        <v>65</v>
      </c>
      <c r="T55" t="s">
        <v>66</v>
      </c>
      <c r="U55" t="s">
        <v>67</v>
      </c>
    </row>
    <row r="56" spans="1:21">
      <c r="A56">
        <v>2004</v>
      </c>
      <c r="B56">
        <v>7</v>
      </c>
      <c r="C56" t="s">
        <v>78</v>
      </c>
      <c r="D56" t="s">
        <v>132</v>
      </c>
      <c r="E56" s="7">
        <v>1209</v>
      </c>
      <c r="F56" s="7">
        <v>4</v>
      </c>
      <c r="G56" s="6">
        <v>27.98</v>
      </c>
      <c r="H56" s="6">
        <v>24.64</v>
      </c>
      <c r="I56" s="6">
        <v>33.340000000000003</v>
      </c>
      <c r="J56" s="6">
        <v>89.51</v>
      </c>
      <c r="K56" s="6">
        <v>11.09</v>
      </c>
      <c r="L56" s="6">
        <v>343.94</v>
      </c>
      <c r="M56" s="6">
        <v>100.13</v>
      </c>
      <c r="N56" s="6">
        <v>11.08</v>
      </c>
      <c r="O56" s="6">
        <v>21.19</v>
      </c>
      <c r="P56" s="6">
        <v>3.2</v>
      </c>
      <c r="Q56" t="s">
        <v>64</v>
      </c>
      <c r="R56" t="s">
        <v>65</v>
      </c>
      <c r="S56" t="s">
        <v>65</v>
      </c>
      <c r="T56" t="s">
        <v>66</v>
      </c>
      <c r="U56" t="s">
        <v>67</v>
      </c>
    </row>
    <row r="57" spans="1:21">
      <c r="A57">
        <v>2004</v>
      </c>
      <c r="B57">
        <v>8</v>
      </c>
      <c r="C57" t="s">
        <v>80</v>
      </c>
      <c r="D57" t="s">
        <v>133</v>
      </c>
      <c r="E57" s="7">
        <v>1261</v>
      </c>
      <c r="F57" s="7">
        <v>1</v>
      </c>
      <c r="G57" s="6">
        <v>28.05</v>
      </c>
      <c r="H57" s="6">
        <v>25.42</v>
      </c>
      <c r="I57" s="6">
        <v>32.5</v>
      </c>
      <c r="J57" s="6">
        <v>90.1</v>
      </c>
      <c r="K57" s="6">
        <v>7.45</v>
      </c>
      <c r="L57" s="6">
        <v>230.97</v>
      </c>
      <c r="M57" s="6">
        <v>100.03</v>
      </c>
      <c r="N57" s="6">
        <v>9.68</v>
      </c>
      <c r="O57" s="6">
        <v>21.45</v>
      </c>
      <c r="P57" s="6">
        <v>2.9</v>
      </c>
      <c r="Q57" t="s">
        <v>64</v>
      </c>
      <c r="R57" t="s">
        <v>65</v>
      </c>
      <c r="S57" t="s">
        <v>65</v>
      </c>
      <c r="T57" t="s">
        <v>66</v>
      </c>
      <c r="U57" t="s">
        <v>67</v>
      </c>
    </row>
    <row r="58" spans="1:21">
      <c r="A58">
        <v>2004</v>
      </c>
      <c r="B58">
        <v>9</v>
      </c>
      <c r="C58" t="s">
        <v>82</v>
      </c>
      <c r="D58" t="s">
        <v>134</v>
      </c>
      <c r="E58" s="7">
        <v>511</v>
      </c>
      <c r="F58" s="7">
        <v>4</v>
      </c>
      <c r="G58" s="6">
        <v>27.19</v>
      </c>
      <c r="H58" s="6">
        <v>23.29</v>
      </c>
      <c r="I58" s="6">
        <v>31.6</v>
      </c>
      <c r="J58" s="6">
        <v>90.39</v>
      </c>
      <c r="K58" s="6">
        <v>22.23</v>
      </c>
      <c r="L58" s="6">
        <v>666.84</v>
      </c>
      <c r="M58" s="6">
        <v>100.56</v>
      </c>
      <c r="N58" s="6">
        <v>12.89</v>
      </c>
      <c r="O58" s="6">
        <v>20.37</v>
      </c>
      <c r="P58" s="6">
        <v>2.2799999999999998</v>
      </c>
      <c r="Q58" t="s">
        <v>64</v>
      </c>
      <c r="R58" t="s">
        <v>65</v>
      </c>
      <c r="S58" t="s">
        <v>65</v>
      </c>
      <c r="T58" t="s">
        <v>66</v>
      </c>
      <c r="U58" t="s">
        <v>67</v>
      </c>
    </row>
    <row r="59" spans="1:21">
      <c r="A59">
        <v>2004</v>
      </c>
      <c r="B59">
        <v>10</v>
      </c>
      <c r="C59" t="s">
        <v>84</v>
      </c>
      <c r="D59" t="s">
        <v>135</v>
      </c>
      <c r="E59" s="7">
        <v>362</v>
      </c>
      <c r="F59" s="7">
        <v>3</v>
      </c>
      <c r="G59" s="6">
        <v>25.1</v>
      </c>
      <c r="H59" s="6">
        <v>17.59</v>
      </c>
      <c r="I59" s="6">
        <v>31.22</v>
      </c>
      <c r="J59" s="6">
        <v>86.3</v>
      </c>
      <c r="K59" s="6">
        <v>5.9</v>
      </c>
      <c r="L59" s="6">
        <v>182.89</v>
      </c>
      <c r="M59" s="6">
        <v>101.13</v>
      </c>
      <c r="N59" s="6">
        <v>14.26</v>
      </c>
      <c r="O59" s="6">
        <v>17.079999999999998</v>
      </c>
      <c r="P59" s="6">
        <v>1.91</v>
      </c>
      <c r="Q59" t="s">
        <v>64</v>
      </c>
      <c r="R59" t="s">
        <v>65</v>
      </c>
      <c r="S59" t="s">
        <v>65</v>
      </c>
      <c r="T59" t="s">
        <v>66</v>
      </c>
      <c r="U59" t="s">
        <v>67</v>
      </c>
    </row>
    <row r="60" spans="1:21">
      <c r="A60">
        <v>2004</v>
      </c>
      <c r="B60">
        <v>11</v>
      </c>
      <c r="C60" t="s">
        <v>86</v>
      </c>
      <c r="D60" t="s">
        <v>136</v>
      </c>
      <c r="E60" s="7">
        <v>395</v>
      </c>
      <c r="F60" s="7">
        <v>1</v>
      </c>
      <c r="G60" s="6">
        <v>21.54</v>
      </c>
      <c r="H60" s="6">
        <v>15.13</v>
      </c>
      <c r="I60" s="6">
        <v>28.24</v>
      </c>
      <c r="J60" s="6">
        <v>79.069999999999993</v>
      </c>
      <c r="K60" s="6">
        <v>0.01</v>
      </c>
      <c r="L60" s="6">
        <v>0.38</v>
      </c>
      <c r="M60" s="6">
        <v>101.36</v>
      </c>
      <c r="N60" s="6">
        <v>6.67</v>
      </c>
      <c r="O60" s="6">
        <v>12.41</v>
      </c>
      <c r="P60" s="6">
        <v>1.3</v>
      </c>
      <c r="Q60" t="s">
        <v>64</v>
      </c>
      <c r="R60" t="s">
        <v>65</v>
      </c>
      <c r="S60" t="s">
        <v>65</v>
      </c>
      <c r="T60" t="s">
        <v>66</v>
      </c>
      <c r="U60" t="s">
        <v>67</v>
      </c>
    </row>
    <row r="61" spans="1:21">
      <c r="A61">
        <v>2004</v>
      </c>
      <c r="B61">
        <v>12</v>
      </c>
      <c r="C61" t="s">
        <v>88</v>
      </c>
      <c r="D61" t="s">
        <v>137</v>
      </c>
      <c r="E61" s="7">
        <v>51</v>
      </c>
      <c r="F61" s="7">
        <v>0</v>
      </c>
      <c r="G61" s="6">
        <v>19.57</v>
      </c>
      <c r="H61" s="6">
        <v>8.3800000000000008</v>
      </c>
      <c r="I61" s="6">
        <v>26.86</v>
      </c>
      <c r="J61" s="6">
        <v>74.47</v>
      </c>
      <c r="K61" s="6">
        <v>0.01</v>
      </c>
      <c r="L61" s="6">
        <v>0.31</v>
      </c>
      <c r="M61" s="6">
        <v>101.44</v>
      </c>
      <c r="N61" s="6">
        <v>7.17</v>
      </c>
      <c r="O61" s="6">
        <v>10.34</v>
      </c>
      <c r="P61" s="6">
        <v>1.24</v>
      </c>
      <c r="Q61" t="s">
        <v>64</v>
      </c>
      <c r="R61" t="s">
        <v>65</v>
      </c>
      <c r="S61" t="s">
        <v>65</v>
      </c>
      <c r="T61" t="s">
        <v>66</v>
      </c>
      <c r="U61" t="s">
        <v>67</v>
      </c>
    </row>
    <row r="62" spans="1:21">
      <c r="A62">
        <v>2005</v>
      </c>
      <c r="B62">
        <v>1</v>
      </c>
      <c r="C62" t="s">
        <v>62</v>
      </c>
      <c r="D62" t="s">
        <v>138</v>
      </c>
      <c r="E62" s="7">
        <v>1</v>
      </c>
      <c r="F62" s="7">
        <v>0</v>
      </c>
      <c r="G62" s="6">
        <v>17.87</v>
      </c>
      <c r="H62" s="6">
        <v>9.6199999999999992</v>
      </c>
      <c r="I62" s="6">
        <v>29.02</v>
      </c>
      <c r="J62" s="6">
        <v>69.73</v>
      </c>
      <c r="K62" s="6">
        <v>0.2</v>
      </c>
      <c r="L62" s="6">
        <v>6.11</v>
      </c>
      <c r="M62" s="6">
        <v>101.41</v>
      </c>
      <c r="N62" s="6">
        <v>8.52</v>
      </c>
      <c r="O62" s="6">
        <v>8.5399999999999991</v>
      </c>
      <c r="P62" s="6">
        <v>1.72</v>
      </c>
      <c r="Q62" t="s">
        <v>64</v>
      </c>
      <c r="R62" t="s">
        <v>65</v>
      </c>
      <c r="S62" t="s">
        <v>65</v>
      </c>
      <c r="T62" t="s">
        <v>66</v>
      </c>
      <c r="U62" t="s">
        <v>67</v>
      </c>
    </row>
    <row r="63" spans="1:21">
      <c r="A63">
        <v>2005</v>
      </c>
      <c r="B63">
        <v>2</v>
      </c>
      <c r="C63" t="s">
        <v>68</v>
      </c>
      <c r="D63" t="s">
        <v>139</v>
      </c>
      <c r="E63" s="7">
        <v>0</v>
      </c>
      <c r="F63" s="7">
        <v>0</v>
      </c>
      <c r="G63" s="6">
        <v>23.07</v>
      </c>
      <c r="H63" s="6">
        <v>9.2899999999999991</v>
      </c>
      <c r="I63" s="6">
        <v>34.53</v>
      </c>
      <c r="J63" s="6">
        <v>56.39</v>
      </c>
      <c r="K63" s="6">
        <v>0.16</v>
      </c>
      <c r="L63" s="6">
        <v>4.3899999999999997</v>
      </c>
      <c r="M63" s="6">
        <v>101.23</v>
      </c>
      <c r="N63" s="6">
        <v>9.7200000000000006</v>
      </c>
      <c r="O63" s="6">
        <v>9.3800000000000008</v>
      </c>
      <c r="P63" s="6">
        <v>1.95</v>
      </c>
      <c r="Q63" t="s">
        <v>64</v>
      </c>
      <c r="R63" t="s">
        <v>65</v>
      </c>
      <c r="S63" t="s">
        <v>65</v>
      </c>
      <c r="T63" t="s">
        <v>66</v>
      </c>
      <c r="U63" t="s">
        <v>67</v>
      </c>
    </row>
    <row r="64" spans="1:21">
      <c r="A64">
        <v>2005</v>
      </c>
      <c r="B64">
        <v>3</v>
      </c>
      <c r="C64" t="s">
        <v>70</v>
      </c>
      <c r="D64" t="s">
        <v>140</v>
      </c>
      <c r="E64" s="7">
        <v>0</v>
      </c>
      <c r="F64" s="7">
        <v>0</v>
      </c>
      <c r="G64" s="6">
        <v>27.68</v>
      </c>
      <c r="H64" s="6">
        <v>17.8</v>
      </c>
      <c r="I64" s="6">
        <v>38.229999999999997</v>
      </c>
      <c r="J64" s="6">
        <v>59.21</v>
      </c>
      <c r="K64" s="6">
        <v>4.28</v>
      </c>
      <c r="L64" s="6">
        <v>132.79</v>
      </c>
      <c r="M64" s="6">
        <v>100.97</v>
      </c>
      <c r="N64" s="6">
        <v>12.4</v>
      </c>
      <c r="O64" s="6">
        <v>12.86</v>
      </c>
      <c r="P64" s="6">
        <v>2.2799999999999998</v>
      </c>
      <c r="Q64" t="s">
        <v>64</v>
      </c>
      <c r="R64" t="s">
        <v>65</v>
      </c>
      <c r="S64" t="s">
        <v>65</v>
      </c>
      <c r="T64" t="s">
        <v>66</v>
      </c>
      <c r="U64" t="s">
        <v>67</v>
      </c>
    </row>
    <row r="65" spans="1:21">
      <c r="A65">
        <v>2005</v>
      </c>
      <c r="B65">
        <v>4</v>
      </c>
      <c r="C65" t="s">
        <v>72</v>
      </c>
      <c r="D65" t="s">
        <v>141</v>
      </c>
      <c r="E65" s="7">
        <v>0</v>
      </c>
      <c r="F65" s="7">
        <v>0</v>
      </c>
      <c r="G65" s="6">
        <v>29.15</v>
      </c>
      <c r="H65" s="6">
        <v>19.7</v>
      </c>
      <c r="I65" s="6">
        <v>38.11</v>
      </c>
      <c r="J65" s="6">
        <v>64.37</v>
      </c>
      <c r="K65" s="6">
        <v>2.93</v>
      </c>
      <c r="L65" s="6">
        <v>87.89</v>
      </c>
      <c r="M65" s="6">
        <v>100.83</v>
      </c>
      <c r="N65" s="6">
        <v>9.58</v>
      </c>
      <c r="O65" s="6">
        <v>15.45</v>
      </c>
      <c r="P65" s="6">
        <v>2.17</v>
      </c>
      <c r="Q65" t="s">
        <v>64</v>
      </c>
      <c r="R65" t="s">
        <v>65</v>
      </c>
      <c r="S65" t="s">
        <v>65</v>
      </c>
      <c r="T65" t="s">
        <v>66</v>
      </c>
      <c r="U65" t="s">
        <v>67</v>
      </c>
    </row>
    <row r="66" spans="1:21">
      <c r="A66">
        <v>2005</v>
      </c>
      <c r="B66">
        <v>5</v>
      </c>
      <c r="C66" t="s">
        <v>74</v>
      </c>
      <c r="D66" t="s">
        <v>142</v>
      </c>
      <c r="E66" s="7">
        <v>0</v>
      </c>
      <c r="F66" s="7">
        <v>0</v>
      </c>
      <c r="G66" s="6">
        <v>29.69</v>
      </c>
      <c r="H66" s="6">
        <v>22.9</v>
      </c>
      <c r="I66" s="6">
        <v>39.130000000000003</v>
      </c>
      <c r="J66" s="6">
        <v>73.209999999999994</v>
      </c>
      <c r="K66" s="6">
        <v>6.07</v>
      </c>
      <c r="L66" s="6">
        <v>188.04</v>
      </c>
      <c r="M66" s="6">
        <v>100.39</v>
      </c>
      <c r="N66" s="6">
        <v>9.7200000000000006</v>
      </c>
      <c r="O66" s="6">
        <v>18.649999999999999</v>
      </c>
      <c r="P66" s="6">
        <v>2.42</v>
      </c>
      <c r="Q66" t="s">
        <v>64</v>
      </c>
      <c r="R66" t="s">
        <v>65</v>
      </c>
      <c r="S66" t="s">
        <v>65</v>
      </c>
      <c r="T66" t="s">
        <v>66</v>
      </c>
      <c r="U66" t="s">
        <v>67</v>
      </c>
    </row>
    <row r="67" spans="1:21">
      <c r="A67">
        <v>2005</v>
      </c>
      <c r="B67">
        <v>6</v>
      </c>
      <c r="C67" t="s">
        <v>76</v>
      </c>
      <c r="D67" t="s">
        <v>143</v>
      </c>
      <c r="E67" s="7">
        <v>2</v>
      </c>
      <c r="F67" s="7">
        <v>0</v>
      </c>
      <c r="G67" s="6">
        <v>30.08</v>
      </c>
      <c r="H67" s="6">
        <v>25.23</v>
      </c>
      <c r="I67" s="6">
        <v>37.299999999999997</v>
      </c>
      <c r="J67" s="6">
        <v>78.87</v>
      </c>
      <c r="K67" s="6">
        <v>4.71</v>
      </c>
      <c r="L67" s="6">
        <v>141.16</v>
      </c>
      <c r="M67" s="6">
        <v>99.9</v>
      </c>
      <c r="N67" s="6">
        <v>12.03</v>
      </c>
      <c r="O67" s="6">
        <v>20.88</v>
      </c>
      <c r="P67" s="6">
        <v>2.68</v>
      </c>
      <c r="Q67" t="s">
        <v>64</v>
      </c>
      <c r="R67" t="s">
        <v>65</v>
      </c>
      <c r="S67" t="s">
        <v>65</v>
      </c>
      <c r="T67" t="s">
        <v>66</v>
      </c>
      <c r="U67" t="s">
        <v>67</v>
      </c>
    </row>
    <row r="68" spans="1:21">
      <c r="A68">
        <v>2005</v>
      </c>
      <c r="B68">
        <v>7</v>
      </c>
      <c r="C68" t="s">
        <v>78</v>
      </c>
      <c r="D68" t="s">
        <v>144</v>
      </c>
      <c r="E68" s="7">
        <v>3</v>
      </c>
      <c r="F68" s="7">
        <v>0</v>
      </c>
      <c r="G68" s="6">
        <v>28.36</v>
      </c>
      <c r="H68" s="6">
        <v>24.46</v>
      </c>
      <c r="I68" s="6">
        <v>32.82</v>
      </c>
      <c r="J68" s="6">
        <v>88.37</v>
      </c>
      <c r="K68" s="6">
        <v>12.15</v>
      </c>
      <c r="L68" s="6">
        <v>376.53</v>
      </c>
      <c r="M68" s="6">
        <v>100.09</v>
      </c>
      <c r="N68" s="6">
        <v>10.26</v>
      </c>
      <c r="O68" s="6">
        <v>21.37</v>
      </c>
      <c r="P68" s="6">
        <v>2.99</v>
      </c>
      <c r="Q68" t="s">
        <v>64</v>
      </c>
      <c r="R68" t="s">
        <v>65</v>
      </c>
      <c r="S68" t="s">
        <v>65</v>
      </c>
      <c r="T68" t="s">
        <v>66</v>
      </c>
      <c r="U68" t="s">
        <v>67</v>
      </c>
    </row>
    <row r="69" spans="1:21">
      <c r="A69">
        <v>2005</v>
      </c>
      <c r="B69">
        <v>8</v>
      </c>
      <c r="C69" t="s">
        <v>80</v>
      </c>
      <c r="D69" t="s">
        <v>145</v>
      </c>
      <c r="E69" s="7">
        <v>174</v>
      </c>
      <c r="F69" s="7">
        <v>0</v>
      </c>
      <c r="G69" s="6">
        <v>28.47</v>
      </c>
      <c r="H69" s="6">
        <v>25.51</v>
      </c>
      <c r="I69" s="6">
        <v>33.46</v>
      </c>
      <c r="J69" s="6">
        <v>88.89</v>
      </c>
      <c r="K69" s="6">
        <v>11.11</v>
      </c>
      <c r="L69" s="6">
        <v>344.53</v>
      </c>
      <c r="M69" s="6">
        <v>100.01</v>
      </c>
      <c r="N69" s="6">
        <v>9.89</v>
      </c>
      <c r="O69" s="6">
        <v>21.68</v>
      </c>
      <c r="P69" s="6">
        <v>2.5499999999999998</v>
      </c>
      <c r="Q69" t="s">
        <v>64</v>
      </c>
      <c r="R69" t="s">
        <v>65</v>
      </c>
      <c r="S69" t="s">
        <v>65</v>
      </c>
      <c r="T69" t="s">
        <v>66</v>
      </c>
      <c r="U69" t="s">
        <v>67</v>
      </c>
    </row>
    <row r="70" spans="1:21">
      <c r="A70">
        <v>2005</v>
      </c>
      <c r="B70">
        <v>9</v>
      </c>
      <c r="C70" t="s">
        <v>82</v>
      </c>
      <c r="D70" t="s">
        <v>146</v>
      </c>
      <c r="E70" s="7">
        <v>337</v>
      </c>
      <c r="F70" s="7">
        <v>1</v>
      </c>
      <c r="G70" s="6">
        <v>27.88</v>
      </c>
      <c r="H70" s="6">
        <v>24.54</v>
      </c>
      <c r="I70" s="6">
        <v>33.130000000000003</v>
      </c>
      <c r="J70" s="6">
        <v>88.4</v>
      </c>
      <c r="K70" s="6">
        <v>10.67</v>
      </c>
      <c r="L70" s="6">
        <v>320.04000000000002</v>
      </c>
      <c r="M70" s="6">
        <v>100.46</v>
      </c>
      <c r="N70" s="6">
        <v>11.44</v>
      </c>
      <c r="O70" s="6">
        <v>20.71</v>
      </c>
      <c r="P70" s="6">
        <v>1.74</v>
      </c>
      <c r="Q70" t="s">
        <v>64</v>
      </c>
      <c r="R70" t="s">
        <v>65</v>
      </c>
      <c r="S70" t="s">
        <v>65</v>
      </c>
      <c r="T70" t="s">
        <v>66</v>
      </c>
      <c r="U70" t="s">
        <v>67</v>
      </c>
    </row>
    <row r="71" spans="1:21">
      <c r="A71">
        <v>2005</v>
      </c>
      <c r="B71">
        <v>10</v>
      </c>
      <c r="C71" t="s">
        <v>84</v>
      </c>
      <c r="D71" t="s">
        <v>147</v>
      </c>
      <c r="E71" s="7">
        <v>325</v>
      </c>
      <c r="F71" s="7">
        <v>1</v>
      </c>
      <c r="G71" s="6">
        <v>26.08</v>
      </c>
      <c r="H71" s="6">
        <v>19.23</v>
      </c>
      <c r="I71" s="6">
        <v>31.73</v>
      </c>
      <c r="J71" s="6">
        <v>86.15</v>
      </c>
      <c r="K71" s="6">
        <v>9.4600000000000009</v>
      </c>
      <c r="L71" s="6">
        <v>293.16000000000003</v>
      </c>
      <c r="M71" s="6">
        <v>100.97</v>
      </c>
      <c r="N71" s="6">
        <v>10.77</v>
      </c>
      <c r="O71" s="6">
        <v>18.05</v>
      </c>
      <c r="P71" s="6">
        <v>1.68</v>
      </c>
      <c r="Q71" t="s">
        <v>64</v>
      </c>
      <c r="R71" t="s">
        <v>65</v>
      </c>
      <c r="S71" t="s">
        <v>65</v>
      </c>
      <c r="T71" t="s">
        <v>66</v>
      </c>
      <c r="U71" t="s">
        <v>67</v>
      </c>
    </row>
    <row r="72" spans="1:21">
      <c r="A72">
        <v>2005</v>
      </c>
      <c r="B72">
        <v>11</v>
      </c>
      <c r="C72" t="s">
        <v>86</v>
      </c>
      <c r="D72" t="s">
        <v>148</v>
      </c>
      <c r="E72" s="7">
        <v>187</v>
      </c>
      <c r="F72" s="7">
        <v>2</v>
      </c>
      <c r="G72" s="6">
        <v>21.38</v>
      </c>
      <c r="H72" s="6">
        <v>12.79</v>
      </c>
      <c r="I72" s="6">
        <v>28.77</v>
      </c>
      <c r="J72" s="6">
        <v>82.53</v>
      </c>
      <c r="K72" s="6">
        <v>0.13</v>
      </c>
      <c r="L72" s="6">
        <v>3.81</v>
      </c>
      <c r="M72" s="6">
        <v>101.2</v>
      </c>
      <c r="N72" s="6">
        <v>7.47</v>
      </c>
      <c r="O72" s="6">
        <v>12.96</v>
      </c>
      <c r="P72" s="6">
        <v>1.53</v>
      </c>
      <c r="Q72" t="s">
        <v>64</v>
      </c>
      <c r="R72" t="s">
        <v>65</v>
      </c>
      <c r="S72" t="s">
        <v>65</v>
      </c>
      <c r="T72" t="s">
        <v>66</v>
      </c>
      <c r="U72" t="s">
        <v>67</v>
      </c>
    </row>
    <row r="73" spans="1:21">
      <c r="A73">
        <v>2005</v>
      </c>
      <c r="B73">
        <v>12</v>
      </c>
      <c r="C73" t="s">
        <v>88</v>
      </c>
      <c r="D73" t="s">
        <v>149</v>
      </c>
      <c r="E73" s="7">
        <v>19</v>
      </c>
      <c r="F73" s="7">
        <v>0</v>
      </c>
      <c r="G73" s="6">
        <v>18.12</v>
      </c>
      <c r="H73" s="6">
        <v>10.67</v>
      </c>
      <c r="I73" s="6">
        <v>26.22</v>
      </c>
      <c r="J73" s="6">
        <v>81.650000000000006</v>
      </c>
      <c r="K73" s="6">
        <v>0.03</v>
      </c>
      <c r="L73" s="6">
        <v>0.99</v>
      </c>
      <c r="M73" s="6">
        <v>101.31</v>
      </c>
      <c r="N73" s="6">
        <v>8</v>
      </c>
      <c r="O73" s="6">
        <v>10.43</v>
      </c>
      <c r="P73" s="6">
        <v>1.66</v>
      </c>
      <c r="Q73" t="s">
        <v>64</v>
      </c>
      <c r="R73" t="s">
        <v>65</v>
      </c>
      <c r="S73" t="s">
        <v>65</v>
      </c>
      <c r="T73" t="s">
        <v>66</v>
      </c>
      <c r="U73" t="s">
        <v>67</v>
      </c>
    </row>
    <row r="74" spans="1:21">
      <c r="A74">
        <v>2006</v>
      </c>
      <c r="B74">
        <v>1</v>
      </c>
      <c r="C74" t="s">
        <v>62</v>
      </c>
      <c r="D74" t="s">
        <v>150</v>
      </c>
      <c r="E74" s="7">
        <v>0</v>
      </c>
      <c r="F74" s="7">
        <v>0</v>
      </c>
      <c r="G74" s="6">
        <v>17.260000000000002</v>
      </c>
      <c r="H74" s="6">
        <v>8.74</v>
      </c>
      <c r="I74" s="6">
        <v>27.46</v>
      </c>
      <c r="J74" s="6">
        <v>70.44</v>
      </c>
      <c r="K74" s="6">
        <v>0</v>
      </c>
      <c r="L74" s="6">
        <v>0.01</v>
      </c>
      <c r="M74" s="6">
        <v>101.38</v>
      </c>
      <c r="N74" s="6">
        <v>8.82</v>
      </c>
      <c r="O74" s="6">
        <v>8.2799999999999994</v>
      </c>
      <c r="P74" s="6">
        <v>1.62</v>
      </c>
      <c r="Q74" t="s">
        <v>64</v>
      </c>
      <c r="R74" t="s">
        <v>65</v>
      </c>
      <c r="S74" t="s">
        <v>65</v>
      </c>
      <c r="T74" t="s">
        <v>66</v>
      </c>
      <c r="U74" t="s">
        <v>67</v>
      </c>
    </row>
    <row r="75" spans="1:21">
      <c r="A75">
        <v>2006</v>
      </c>
      <c r="B75">
        <v>2</v>
      </c>
      <c r="C75" t="s">
        <v>68</v>
      </c>
      <c r="D75" t="s">
        <v>151</v>
      </c>
      <c r="E75" s="7">
        <v>0</v>
      </c>
      <c r="F75" s="7">
        <v>0</v>
      </c>
      <c r="G75" s="6">
        <v>23.66</v>
      </c>
      <c r="H75" s="6">
        <v>13.93</v>
      </c>
      <c r="I75" s="6">
        <v>36.29</v>
      </c>
      <c r="J75" s="6">
        <v>61.3</v>
      </c>
      <c r="K75" s="6">
        <v>0.09</v>
      </c>
      <c r="L75" s="6">
        <v>2.5099999999999998</v>
      </c>
      <c r="M75" s="6">
        <v>101.14</v>
      </c>
      <c r="N75" s="6">
        <v>9.49</v>
      </c>
      <c r="O75" s="6">
        <v>10.47</v>
      </c>
      <c r="P75" s="6">
        <v>1.67</v>
      </c>
      <c r="Q75" t="s">
        <v>64</v>
      </c>
      <c r="R75" t="s">
        <v>65</v>
      </c>
      <c r="S75" t="s">
        <v>65</v>
      </c>
      <c r="T75" t="s">
        <v>66</v>
      </c>
      <c r="U75" t="s">
        <v>67</v>
      </c>
    </row>
    <row r="76" spans="1:21">
      <c r="A76">
        <v>2006</v>
      </c>
      <c r="B76">
        <v>3</v>
      </c>
      <c r="C76" t="s">
        <v>70</v>
      </c>
      <c r="D76" t="s">
        <v>152</v>
      </c>
      <c r="E76" s="7">
        <v>0</v>
      </c>
      <c r="F76" s="7">
        <v>0</v>
      </c>
      <c r="G76" s="6">
        <v>27.67</v>
      </c>
      <c r="H76" s="6">
        <v>17.12</v>
      </c>
      <c r="I76" s="6">
        <v>39.43</v>
      </c>
      <c r="J76" s="6">
        <v>46.04</v>
      </c>
      <c r="K76" s="6">
        <v>0.05</v>
      </c>
      <c r="L76" s="6">
        <v>1.48</v>
      </c>
      <c r="M76" s="6">
        <v>100.89</v>
      </c>
      <c r="N76" s="6">
        <v>8.14</v>
      </c>
      <c r="O76" s="6">
        <v>9.8000000000000007</v>
      </c>
      <c r="P76" s="6">
        <v>1.6</v>
      </c>
      <c r="Q76" t="s">
        <v>64</v>
      </c>
      <c r="R76" t="s">
        <v>65</v>
      </c>
      <c r="S76" t="s">
        <v>65</v>
      </c>
      <c r="T76" t="s">
        <v>66</v>
      </c>
      <c r="U76" t="s">
        <v>67</v>
      </c>
    </row>
    <row r="77" spans="1:21">
      <c r="A77">
        <v>2006</v>
      </c>
      <c r="B77">
        <v>4</v>
      </c>
      <c r="C77" t="s">
        <v>72</v>
      </c>
      <c r="D77" t="s">
        <v>153</v>
      </c>
      <c r="E77" s="7">
        <v>0</v>
      </c>
      <c r="F77" s="7">
        <v>0</v>
      </c>
      <c r="G77" s="6">
        <v>30.1</v>
      </c>
      <c r="H77" s="6">
        <v>21.85</v>
      </c>
      <c r="I77" s="6">
        <v>39.03</v>
      </c>
      <c r="J77" s="6">
        <v>61.87</v>
      </c>
      <c r="K77" s="6">
        <v>4.16</v>
      </c>
      <c r="L77" s="6">
        <v>124.92</v>
      </c>
      <c r="M77" s="6">
        <v>100.6</v>
      </c>
      <c r="N77" s="6">
        <v>10.23</v>
      </c>
      <c r="O77" s="6">
        <v>15.64</v>
      </c>
      <c r="P77" s="6">
        <v>2.4500000000000002</v>
      </c>
      <c r="Q77" t="s">
        <v>64</v>
      </c>
      <c r="R77" t="s">
        <v>65</v>
      </c>
      <c r="S77" t="s">
        <v>65</v>
      </c>
      <c r="T77" t="s">
        <v>66</v>
      </c>
      <c r="U77" t="s">
        <v>67</v>
      </c>
    </row>
    <row r="78" spans="1:21">
      <c r="A78">
        <v>2006</v>
      </c>
      <c r="B78">
        <v>5</v>
      </c>
      <c r="C78" t="s">
        <v>74</v>
      </c>
      <c r="D78" t="s">
        <v>154</v>
      </c>
      <c r="E78" s="7">
        <v>0</v>
      </c>
      <c r="F78" s="7">
        <v>0</v>
      </c>
      <c r="G78" s="6">
        <v>29.96</v>
      </c>
      <c r="H78" s="6">
        <v>23.08</v>
      </c>
      <c r="I78" s="6">
        <v>39.56</v>
      </c>
      <c r="J78" s="6">
        <v>71.989999999999995</v>
      </c>
      <c r="K78" s="6">
        <v>9.98</v>
      </c>
      <c r="L78" s="6">
        <v>309.36</v>
      </c>
      <c r="M78" s="6">
        <v>100.38</v>
      </c>
      <c r="N78" s="6">
        <v>10.6</v>
      </c>
      <c r="O78" s="6">
        <v>18.41</v>
      </c>
      <c r="P78" s="6">
        <v>2.4500000000000002</v>
      </c>
      <c r="Q78" t="s">
        <v>64</v>
      </c>
      <c r="R78" t="s">
        <v>65</v>
      </c>
      <c r="S78" t="s">
        <v>65</v>
      </c>
      <c r="T78" t="s">
        <v>66</v>
      </c>
      <c r="U78" t="s">
        <v>67</v>
      </c>
    </row>
    <row r="79" spans="1:21">
      <c r="A79">
        <v>2006</v>
      </c>
      <c r="B79">
        <v>6</v>
      </c>
      <c r="C79" t="s">
        <v>76</v>
      </c>
      <c r="D79" t="s">
        <v>155</v>
      </c>
      <c r="E79" s="7">
        <v>100</v>
      </c>
      <c r="F79" s="7">
        <v>1</v>
      </c>
      <c r="G79" s="6">
        <v>28.42</v>
      </c>
      <c r="H79" s="6">
        <v>25.6</v>
      </c>
      <c r="I79" s="6">
        <v>32.92</v>
      </c>
      <c r="J79" s="6">
        <v>89.06</v>
      </c>
      <c r="K79" s="6">
        <v>9.83</v>
      </c>
      <c r="L79" s="6">
        <v>294.93</v>
      </c>
      <c r="M79" s="6">
        <v>100.15</v>
      </c>
      <c r="N79" s="6">
        <v>12.65</v>
      </c>
      <c r="O79" s="6">
        <v>21.63</v>
      </c>
      <c r="P79" s="6">
        <v>2.4900000000000002</v>
      </c>
      <c r="Q79" t="s">
        <v>64</v>
      </c>
      <c r="R79" t="s">
        <v>65</v>
      </c>
      <c r="S79" t="s">
        <v>65</v>
      </c>
      <c r="T79" t="s">
        <v>66</v>
      </c>
      <c r="U79" t="s">
        <v>67</v>
      </c>
    </row>
    <row r="80" spans="1:21">
      <c r="A80">
        <v>2006</v>
      </c>
      <c r="B80">
        <v>7</v>
      </c>
      <c r="C80" t="s">
        <v>78</v>
      </c>
      <c r="D80" t="s">
        <v>156</v>
      </c>
      <c r="E80" s="7">
        <v>972</v>
      </c>
      <c r="F80" s="7">
        <v>1</v>
      </c>
      <c r="G80" s="6">
        <v>28.36</v>
      </c>
      <c r="H80" s="6">
        <v>25.22</v>
      </c>
      <c r="I80" s="6">
        <v>33.1</v>
      </c>
      <c r="J80" s="6">
        <v>89.52</v>
      </c>
      <c r="K80" s="6">
        <v>8.6199999999999992</v>
      </c>
      <c r="L80" s="6">
        <v>267.16000000000003</v>
      </c>
      <c r="M80" s="6">
        <v>99.92</v>
      </c>
      <c r="N80" s="6">
        <v>11.02</v>
      </c>
      <c r="O80" s="6">
        <v>21.73</v>
      </c>
      <c r="P80" s="6">
        <v>3.22</v>
      </c>
      <c r="Q80" t="s">
        <v>64</v>
      </c>
      <c r="R80" t="s">
        <v>65</v>
      </c>
      <c r="S80" t="s">
        <v>65</v>
      </c>
      <c r="T80" t="s">
        <v>66</v>
      </c>
      <c r="U80" t="s">
        <v>67</v>
      </c>
    </row>
    <row r="81" spans="1:21">
      <c r="A81">
        <v>2006</v>
      </c>
      <c r="B81">
        <v>8</v>
      </c>
      <c r="C81" t="s">
        <v>80</v>
      </c>
      <c r="D81" t="s">
        <v>157</v>
      </c>
      <c r="E81" s="7">
        <v>680</v>
      </c>
      <c r="F81" s="7">
        <v>1</v>
      </c>
      <c r="G81" s="6">
        <v>27.81</v>
      </c>
      <c r="H81" s="6">
        <v>24.16</v>
      </c>
      <c r="I81" s="6">
        <v>32.44</v>
      </c>
      <c r="J81" s="6">
        <v>88.98</v>
      </c>
      <c r="K81" s="6">
        <v>7.26</v>
      </c>
      <c r="L81" s="6">
        <v>225.08</v>
      </c>
      <c r="M81" s="6">
        <v>100.13</v>
      </c>
      <c r="N81" s="6">
        <v>11.11</v>
      </c>
      <c r="O81" s="6">
        <v>20.85</v>
      </c>
      <c r="P81" s="6">
        <v>2.72</v>
      </c>
      <c r="Q81" t="s">
        <v>64</v>
      </c>
      <c r="R81" t="s">
        <v>65</v>
      </c>
      <c r="S81" t="s">
        <v>65</v>
      </c>
      <c r="T81" t="s">
        <v>66</v>
      </c>
      <c r="U81" t="s">
        <v>67</v>
      </c>
    </row>
    <row r="82" spans="1:21">
      <c r="A82">
        <v>2006</v>
      </c>
      <c r="B82">
        <v>9</v>
      </c>
      <c r="C82" t="s">
        <v>82</v>
      </c>
      <c r="D82" t="s">
        <v>158</v>
      </c>
      <c r="E82" s="7">
        <v>211</v>
      </c>
      <c r="F82" s="7">
        <v>6</v>
      </c>
      <c r="G82" s="6">
        <v>27.62</v>
      </c>
      <c r="H82" s="6">
        <v>23.91</v>
      </c>
      <c r="I82" s="6">
        <v>32.700000000000003</v>
      </c>
      <c r="J82" s="6">
        <v>88.29</v>
      </c>
      <c r="K82" s="6">
        <v>13.57</v>
      </c>
      <c r="L82" s="6">
        <v>407.04</v>
      </c>
      <c r="M82" s="6">
        <v>100.51</v>
      </c>
      <c r="N82" s="6">
        <v>12.98</v>
      </c>
      <c r="O82" s="6">
        <v>20.350000000000001</v>
      </c>
      <c r="P82" s="6">
        <v>2.13</v>
      </c>
      <c r="Q82" t="s">
        <v>64</v>
      </c>
      <c r="R82" t="s">
        <v>65</v>
      </c>
      <c r="S82" t="s">
        <v>65</v>
      </c>
      <c r="T82" t="s">
        <v>66</v>
      </c>
      <c r="U82" t="s">
        <v>67</v>
      </c>
    </row>
    <row r="83" spans="1:21">
      <c r="A83">
        <v>2006</v>
      </c>
      <c r="B83">
        <v>10</v>
      </c>
      <c r="C83" t="s">
        <v>84</v>
      </c>
      <c r="D83" t="s">
        <v>159</v>
      </c>
      <c r="E83" s="7">
        <v>145</v>
      </c>
      <c r="F83" s="7">
        <v>1</v>
      </c>
      <c r="G83" s="6">
        <v>26.33</v>
      </c>
      <c r="H83" s="6">
        <v>18.04</v>
      </c>
      <c r="I83" s="6">
        <v>32.369999999999997</v>
      </c>
      <c r="J83" s="6">
        <v>82.54</v>
      </c>
      <c r="K83" s="6">
        <v>2</v>
      </c>
      <c r="L83" s="6">
        <v>62.04</v>
      </c>
      <c r="M83" s="6">
        <v>101.01</v>
      </c>
      <c r="N83" s="6">
        <v>6.99</v>
      </c>
      <c r="O83" s="6">
        <v>17.559999999999999</v>
      </c>
      <c r="P83" s="6">
        <v>1.21</v>
      </c>
      <c r="Q83" t="s">
        <v>64</v>
      </c>
      <c r="R83" t="s">
        <v>65</v>
      </c>
      <c r="S83" t="s">
        <v>65</v>
      </c>
      <c r="T83" t="s">
        <v>66</v>
      </c>
      <c r="U83" t="s">
        <v>67</v>
      </c>
    </row>
    <row r="84" spans="1:21">
      <c r="A84">
        <v>2006</v>
      </c>
      <c r="B84">
        <v>11</v>
      </c>
      <c r="C84" t="s">
        <v>86</v>
      </c>
      <c r="D84" t="s">
        <v>160</v>
      </c>
      <c r="E84" s="7">
        <v>92</v>
      </c>
      <c r="F84" s="7">
        <v>1</v>
      </c>
      <c r="G84" s="6">
        <v>22.38</v>
      </c>
      <c r="H84" s="6">
        <v>12.17</v>
      </c>
      <c r="I84" s="6">
        <v>30.06</v>
      </c>
      <c r="J84" s="6">
        <v>76.959999999999994</v>
      </c>
      <c r="K84" s="6">
        <v>0.1</v>
      </c>
      <c r="L84" s="6">
        <v>3.07</v>
      </c>
      <c r="M84" s="6">
        <v>101.25</v>
      </c>
      <c r="N84" s="6">
        <v>6.4</v>
      </c>
      <c r="O84" s="6">
        <v>12.84</v>
      </c>
      <c r="P84" s="6">
        <v>1.46</v>
      </c>
      <c r="Q84" t="s">
        <v>64</v>
      </c>
      <c r="R84" t="s">
        <v>65</v>
      </c>
      <c r="S84" t="s">
        <v>65</v>
      </c>
      <c r="T84" t="s">
        <v>66</v>
      </c>
      <c r="U84" t="s">
        <v>67</v>
      </c>
    </row>
    <row r="85" spans="1:21">
      <c r="A85">
        <v>2006</v>
      </c>
      <c r="B85">
        <v>12</v>
      </c>
      <c r="C85" t="s">
        <v>88</v>
      </c>
      <c r="D85" t="s">
        <v>161</v>
      </c>
      <c r="E85" s="7">
        <v>0</v>
      </c>
      <c r="F85" s="7">
        <v>0</v>
      </c>
      <c r="G85" s="6">
        <v>19.260000000000002</v>
      </c>
      <c r="H85" s="6">
        <v>10.76</v>
      </c>
      <c r="I85" s="6">
        <v>27.72</v>
      </c>
      <c r="J85" s="6">
        <v>71</v>
      </c>
      <c r="K85" s="6">
        <v>0.01</v>
      </c>
      <c r="L85" s="6">
        <v>0.18</v>
      </c>
      <c r="M85" s="6">
        <v>101.46</v>
      </c>
      <c r="N85" s="6">
        <v>8.39</v>
      </c>
      <c r="O85" s="6">
        <v>9.56</v>
      </c>
      <c r="P85" s="6">
        <v>1.45</v>
      </c>
      <c r="Q85" t="s">
        <v>64</v>
      </c>
      <c r="R85" t="s">
        <v>65</v>
      </c>
      <c r="S85" t="s">
        <v>65</v>
      </c>
      <c r="T85" t="s">
        <v>66</v>
      </c>
      <c r="U85" t="s">
        <v>67</v>
      </c>
    </row>
    <row r="86" spans="1:21">
      <c r="A86">
        <v>2007</v>
      </c>
      <c r="B86">
        <v>1</v>
      </c>
      <c r="C86" t="s">
        <v>62</v>
      </c>
      <c r="D86" t="s">
        <v>162</v>
      </c>
      <c r="E86" s="7">
        <v>0</v>
      </c>
      <c r="F86" s="7">
        <v>0</v>
      </c>
      <c r="G86" s="6">
        <v>17.559999999999999</v>
      </c>
      <c r="H86" s="6">
        <v>9.02</v>
      </c>
      <c r="I86" s="6">
        <v>29.18</v>
      </c>
      <c r="J86" s="6">
        <v>59.65</v>
      </c>
      <c r="K86" s="6">
        <v>0</v>
      </c>
      <c r="L86" s="6">
        <v>7.0000000000000007E-2</v>
      </c>
      <c r="M86" s="6">
        <v>101.55</v>
      </c>
      <c r="N86" s="6">
        <v>8.61</v>
      </c>
      <c r="O86" s="6">
        <v>7.1</v>
      </c>
      <c r="P86" s="6">
        <v>1.59</v>
      </c>
      <c r="Q86" t="s">
        <v>64</v>
      </c>
      <c r="R86" t="s">
        <v>65</v>
      </c>
      <c r="S86" t="s">
        <v>65</v>
      </c>
      <c r="T86" t="s">
        <v>66</v>
      </c>
      <c r="U86" t="s">
        <v>67</v>
      </c>
    </row>
    <row r="87" spans="1:21">
      <c r="A87">
        <v>2007</v>
      </c>
      <c r="B87">
        <v>2</v>
      </c>
      <c r="C87" t="s">
        <v>68</v>
      </c>
      <c r="D87" t="s">
        <v>163</v>
      </c>
      <c r="E87" s="7">
        <v>0</v>
      </c>
      <c r="F87" s="7">
        <v>0</v>
      </c>
      <c r="G87" s="6">
        <v>21.48</v>
      </c>
      <c r="H87" s="6">
        <v>12.3</v>
      </c>
      <c r="I87" s="6">
        <v>30.44</v>
      </c>
      <c r="J87" s="6">
        <v>61.38</v>
      </c>
      <c r="K87" s="6">
        <v>1.8</v>
      </c>
      <c r="L87" s="6">
        <v>50.4</v>
      </c>
      <c r="M87" s="6">
        <v>101.28</v>
      </c>
      <c r="N87" s="6">
        <v>8.83</v>
      </c>
      <c r="O87" s="6">
        <v>9.33</v>
      </c>
      <c r="P87" s="6">
        <v>1.62</v>
      </c>
      <c r="Q87" t="s">
        <v>64</v>
      </c>
      <c r="R87" t="s">
        <v>65</v>
      </c>
      <c r="S87" t="s">
        <v>65</v>
      </c>
      <c r="T87" t="s">
        <v>66</v>
      </c>
      <c r="U87" t="s">
        <v>67</v>
      </c>
    </row>
    <row r="88" spans="1:21">
      <c r="A88">
        <v>2007</v>
      </c>
      <c r="B88">
        <v>3</v>
      </c>
      <c r="C88" t="s">
        <v>70</v>
      </c>
      <c r="D88" t="s">
        <v>164</v>
      </c>
      <c r="E88" s="7">
        <v>0</v>
      </c>
      <c r="F88" s="7">
        <v>0</v>
      </c>
      <c r="G88" s="6">
        <v>25.91</v>
      </c>
      <c r="H88" s="6">
        <v>14.47</v>
      </c>
      <c r="I88" s="6">
        <v>37.47</v>
      </c>
      <c r="J88" s="6">
        <v>45.88</v>
      </c>
      <c r="K88" s="6">
        <v>0.19</v>
      </c>
      <c r="L88" s="6">
        <v>5.84</v>
      </c>
      <c r="M88" s="6">
        <v>100.99</v>
      </c>
      <c r="N88" s="6">
        <v>8.9600000000000009</v>
      </c>
      <c r="O88" s="6">
        <v>8.9600000000000009</v>
      </c>
      <c r="P88" s="6">
        <v>1.63</v>
      </c>
      <c r="Q88" t="s">
        <v>64</v>
      </c>
      <c r="R88" t="s">
        <v>65</v>
      </c>
      <c r="S88" t="s">
        <v>65</v>
      </c>
      <c r="T88" t="s">
        <v>66</v>
      </c>
      <c r="U88" t="s">
        <v>67</v>
      </c>
    </row>
    <row r="89" spans="1:21">
      <c r="A89">
        <v>2007</v>
      </c>
      <c r="B89">
        <v>4</v>
      </c>
      <c r="C89" t="s">
        <v>72</v>
      </c>
      <c r="D89" t="s">
        <v>165</v>
      </c>
      <c r="E89" s="7">
        <v>0</v>
      </c>
      <c r="F89" s="7">
        <v>0</v>
      </c>
      <c r="G89" s="6">
        <v>29.34</v>
      </c>
      <c r="H89" s="6">
        <v>22.8</v>
      </c>
      <c r="I89" s="6">
        <v>38.89</v>
      </c>
      <c r="J89" s="6">
        <v>65.91</v>
      </c>
      <c r="K89" s="6">
        <v>6.02</v>
      </c>
      <c r="L89" s="6">
        <v>180.57</v>
      </c>
      <c r="M89" s="6">
        <v>100.73</v>
      </c>
      <c r="N89" s="6">
        <v>10.38</v>
      </c>
      <c r="O89" s="6">
        <v>15.99</v>
      </c>
      <c r="P89" s="6">
        <v>2.87</v>
      </c>
      <c r="Q89" t="s">
        <v>64</v>
      </c>
      <c r="R89" t="s">
        <v>65</v>
      </c>
      <c r="S89" t="s">
        <v>65</v>
      </c>
      <c r="T89" t="s">
        <v>66</v>
      </c>
      <c r="U89" t="s">
        <v>67</v>
      </c>
    </row>
    <row r="90" spans="1:21">
      <c r="A90">
        <v>2007</v>
      </c>
      <c r="B90">
        <v>5</v>
      </c>
      <c r="C90" t="s">
        <v>74</v>
      </c>
      <c r="D90" t="s">
        <v>166</v>
      </c>
      <c r="E90" s="7">
        <v>0</v>
      </c>
      <c r="F90" s="7">
        <v>0</v>
      </c>
      <c r="G90" s="6">
        <v>29.51</v>
      </c>
      <c r="H90" s="6">
        <v>23.44</v>
      </c>
      <c r="I90" s="6">
        <v>37.869999999999997</v>
      </c>
      <c r="J90" s="6">
        <v>74.45</v>
      </c>
      <c r="K90" s="6">
        <v>6.39</v>
      </c>
      <c r="L90" s="6">
        <v>198.18</v>
      </c>
      <c r="M90" s="6">
        <v>100.31</v>
      </c>
      <c r="N90" s="6">
        <v>10.58</v>
      </c>
      <c r="O90" s="6">
        <v>18.77</v>
      </c>
      <c r="P90" s="6">
        <v>2.12</v>
      </c>
      <c r="Q90" t="s">
        <v>64</v>
      </c>
      <c r="R90" t="s">
        <v>65</v>
      </c>
      <c r="S90" t="s">
        <v>65</v>
      </c>
      <c r="T90" t="s">
        <v>66</v>
      </c>
      <c r="U90" t="s">
        <v>67</v>
      </c>
    </row>
    <row r="91" spans="1:21">
      <c r="A91">
        <v>2007</v>
      </c>
      <c r="B91">
        <v>6</v>
      </c>
      <c r="C91" t="s">
        <v>76</v>
      </c>
      <c r="D91" t="s">
        <v>167</v>
      </c>
      <c r="E91" s="7">
        <v>0</v>
      </c>
      <c r="F91" s="7">
        <v>0</v>
      </c>
      <c r="G91" s="6">
        <v>28.42</v>
      </c>
      <c r="H91" s="6">
        <v>25.49</v>
      </c>
      <c r="I91" s="6">
        <v>33.450000000000003</v>
      </c>
      <c r="J91" s="6">
        <v>89.26</v>
      </c>
      <c r="K91" s="6">
        <v>17.91</v>
      </c>
      <c r="L91" s="6">
        <v>537.17999999999995</v>
      </c>
      <c r="M91" s="6">
        <v>100.12</v>
      </c>
      <c r="N91" s="6">
        <v>10.76</v>
      </c>
      <c r="O91" s="6">
        <v>21.67</v>
      </c>
      <c r="P91" s="6">
        <v>2.82</v>
      </c>
      <c r="Q91" t="s">
        <v>64</v>
      </c>
      <c r="R91" t="s">
        <v>65</v>
      </c>
      <c r="S91" t="s">
        <v>65</v>
      </c>
      <c r="T91" t="s">
        <v>66</v>
      </c>
      <c r="U91" t="s">
        <v>67</v>
      </c>
    </row>
    <row r="92" spans="1:21">
      <c r="A92">
        <v>2007</v>
      </c>
      <c r="B92">
        <v>7</v>
      </c>
      <c r="C92" t="s">
        <v>78</v>
      </c>
      <c r="D92" t="s">
        <v>168</v>
      </c>
      <c r="E92" s="7">
        <v>85</v>
      </c>
      <c r="F92" s="7">
        <v>0</v>
      </c>
      <c r="G92" s="6">
        <v>28.09</v>
      </c>
      <c r="H92" s="6">
        <v>25.35</v>
      </c>
      <c r="I92" s="6">
        <v>33.15</v>
      </c>
      <c r="J92" s="6">
        <v>91</v>
      </c>
      <c r="K92" s="6">
        <v>22.63</v>
      </c>
      <c r="L92" s="6">
        <v>701.57</v>
      </c>
      <c r="M92" s="6">
        <v>100.01</v>
      </c>
      <c r="N92" s="6">
        <v>12.78</v>
      </c>
      <c r="O92" s="6">
        <v>21.76</v>
      </c>
      <c r="P92" s="6">
        <v>3.29</v>
      </c>
      <c r="Q92" t="s">
        <v>64</v>
      </c>
      <c r="R92" t="s">
        <v>65</v>
      </c>
      <c r="S92" t="s">
        <v>65</v>
      </c>
      <c r="T92" t="s">
        <v>66</v>
      </c>
      <c r="U92" t="s">
        <v>67</v>
      </c>
    </row>
    <row r="93" spans="1:21">
      <c r="A93">
        <v>2007</v>
      </c>
      <c r="B93">
        <v>8</v>
      </c>
      <c r="C93" t="s">
        <v>80</v>
      </c>
      <c r="D93" t="s">
        <v>169</v>
      </c>
      <c r="E93" s="7">
        <v>179</v>
      </c>
      <c r="F93" s="7">
        <v>0</v>
      </c>
      <c r="G93" s="6">
        <v>28.2</v>
      </c>
      <c r="H93" s="6">
        <v>24.81</v>
      </c>
      <c r="I93" s="6">
        <v>33.69</v>
      </c>
      <c r="J93" s="6">
        <v>89.46</v>
      </c>
      <c r="K93" s="6">
        <v>8.7899999999999991</v>
      </c>
      <c r="L93" s="6">
        <v>272.41000000000003</v>
      </c>
      <c r="M93" s="6">
        <v>100.07</v>
      </c>
      <c r="N93" s="6">
        <v>12.89</v>
      </c>
      <c r="O93" s="6">
        <v>21.47</v>
      </c>
      <c r="P93" s="6">
        <v>2.31</v>
      </c>
      <c r="Q93" t="s">
        <v>64</v>
      </c>
      <c r="R93" t="s">
        <v>65</v>
      </c>
      <c r="S93" t="s">
        <v>65</v>
      </c>
      <c r="T93" t="s">
        <v>66</v>
      </c>
      <c r="U93" t="s">
        <v>67</v>
      </c>
    </row>
    <row r="94" spans="1:21">
      <c r="A94">
        <v>2007</v>
      </c>
      <c r="B94">
        <v>9</v>
      </c>
      <c r="C94" t="s">
        <v>82</v>
      </c>
      <c r="D94" t="s">
        <v>170</v>
      </c>
      <c r="E94" s="7">
        <v>163</v>
      </c>
      <c r="F94" s="7">
        <v>0</v>
      </c>
      <c r="G94" s="6">
        <v>27.45</v>
      </c>
      <c r="H94" s="6">
        <v>23.92</v>
      </c>
      <c r="I94" s="6">
        <v>32.15</v>
      </c>
      <c r="J94" s="6">
        <v>89.75</v>
      </c>
      <c r="K94" s="6">
        <v>7.61</v>
      </c>
      <c r="L94" s="6">
        <v>228.42</v>
      </c>
      <c r="M94" s="6">
        <v>100.32</v>
      </c>
      <c r="N94" s="6">
        <v>14.99</v>
      </c>
      <c r="O94" s="6">
        <v>20.57</v>
      </c>
      <c r="P94" s="6">
        <v>2.12</v>
      </c>
      <c r="Q94" t="s">
        <v>64</v>
      </c>
      <c r="R94" t="s">
        <v>65</v>
      </c>
      <c r="S94" t="s">
        <v>65</v>
      </c>
      <c r="T94" t="s">
        <v>66</v>
      </c>
      <c r="U94" t="s">
        <v>67</v>
      </c>
    </row>
    <row r="95" spans="1:21">
      <c r="A95">
        <v>2007</v>
      </c>
      <c r="B95">
        <v>10</v>
      </c>
      <c r="C95" t="s">
        <v>84</v>
      </c>
      <c r="D95" t="s">
        <v>171</v>
      </c>
      <c r="E95" s="7">
        <v>39</v>
      </c>
      <c r="F95" s="7">
        <v>0</v>
      </c>
      <c r="G95" s="6">
        <v>25.57</v>
      </c>
      <c r="H95" s="6">
        <v>17.53</v>
      </c>
      <c r="I95" s="6">
        <v>32.03</v>
      </c>
      <c r="J95" s="6">
        <v>85.69</v>
      </c>
      <c r="K95" s="6">
        <v>9.76</v>
      </c>
      <c r="L95" s="6">
        <v>302.66000000000003</v>
      </c>
      <c r="M95" s="6">
        <v>100.78</v>
      </c>
      <c r="N95" s="6">
        <v>9.68</v>
      </c>
      <c r="O95" s="6">
        <v>17.579999999999998</v>
      </c>
      <c r="P95" s="6">
        <v>1.68</v>
      </c>
      <c r="Q95" t="s">
        <v>64</v>
      </c>
      <c r="R95" t="s">
        <v>65</v>
      </c>
      <c r="S95" t="s">
        <v>65</v>
      </c>
      <c r="T95" t="s">
        <v>66</v>
      </c>
      <c r="U95" t="s">
        <v>67</v>
      </c>
    </row>
    <row r="96" spans="1:21">
      <c r="A96">
        <v>2007</v>
      </c>
      <c r="B96">
        <v>11</v>
      </c>
      <c r="C96" t="s">
        <v>86</v>
      </c>
      <c r="D96" t="s">
        <v>172</v>
      </c>
      <c r="E96" s="7">
        <v>0</v>
      </c>
      <c r="F96" s="7">
        <v>0</v>
      </c>
      <c r="G96" s="6">
        <v>22.54</v>
      </c>
      <c r="H96" s="6">
        <v>15.17</v>
      </c>
      <c r="I96" s="6">
        <v>29.07</v>
      </c>
      <c r="J96" s="6">
        <v>84.15</v>
      </c>
      <c r="K96" s="6">
        <v>2.59</v>
      </c>
      <c r="L96" s="6">
        <v>77.62</v>
      </c>
      <c r="M96" s="6">
        <v>101.14</v>
      </c>
      <c r="N96" s="6">
        <v>14.17</v>
      </c>
      <c r="O96" s="6">
        <v>14.19</v>
      </c>
      <c r="P96" s="6">
        <v>1.71</v>
      </c>
      <c r="Q96" t="s">
        <v>64</v>
      </c>
      <c r="R96" t="s">
        <v>65</v>
      </c>
      <c r="S96" t="s">
        <v>65</v>
      </c>
      <c r="T96" t="s">
        <v>66</v>
      </c>
      <c r="U96" t="s">
        <v>67</v>
      </c>
    </row>
    <row r="97" spans="1:21">
      <c r="A97">
        <v>2007</v>
      </c>
      <c r="B97">
        <v>12</v>
      </c>
      <c r="C97" t="s">
        <v>88</v>
      </c>
      <c r="D97" t="s">
        <v>173</v>
      </c>
      <c r="E97" s="7">
        <v>0</v>
      </c>
      <c r="F97" s="7">
        <v>0</v>
      </c>
      <c r="G97" s="6">
        <v>17.420000000000002</v>
      </c>
      <c r="H97" s="6">
        <v>9.48</v>
      </c>
      <c r="I97" s="6">
        <v>26.04</v>
      </c>
      <c r="J97" s="6">
        <v>80.53</v>
      </c>
      <c r="K97" s="6">
        <v>0</v>
      </c>
      <c r="L97" s="6">
        <v>0</v>
      </c>
      <c r="M97" s="6">
        <v>101.35</v>
      </c>
      <c r="N97" s="6">
        <v>7.26</v>
      </c>
      <c r="O97" s="6">
        <v>9.81</v>
      </c>
      <c r="P97" s="6">
        <v>1.65</v>
      </c>
      <c r="Q97" t="s">
        <v>64</v>
      </c>
      <c r="R97" t="s">
        <v>65</v>
      </c>
      <c r="S97" t="s">
        <v>65</v>
      </c>
      <c r="T97" t="s">
        <v>66</v>
      </c>
      <c r="U97" t="s">
        <v>67</v>
      </c>
    </row>
    <row r="98" spans="1:21">
      <c r="A98">
        <v>2008</v>
      </c>
      <c r="B98">
        <v>1</v>
      </c>
      <c r="C98" t="s">
        <v>62</v>
      </c>
      <c r="D98" t="s">
        <v>174</v>
      </c>
      <c r="E98" s="7">
        <v>0</v>
      </c>
      <c r="F98" s="7">
        <v>0</v>
      </c>
      <c r="G98" s="6">
        <v>17.510000000000002</v>
      </c>
      <c r="H98" s="6">
        <v>9.93</v>
      </c>
      <c r="I98" s="6">
        <v>25.91</v>
      </c>
      <c r="J98" s="6">
        <v>73.88</v>
      </c>
      <c r="K98" s="6">
        <v>1.05</v>
      </c>
      <c r="L98" s="6">
        <v>32.64</v>
      </c>
      <c r="M98" s="6">
        <v>101.33</v>
      </c>
      <c r="N98" s="6">
        <v>7.9</v>
      </c>
      <c r="O98" s="6">
        <v>8.9700000000000006</v>
      </c>
      <c r="P98" s="6">
        <v>1.6</v>
      </c>
      <c r="Q98" t="s">
        <v>64</v>
      </c>
      <c r="R98" t="s">
        <v>65</v>
      </c>
      <c r="S98" t="s">
        <v>65</v>
      </c>
      <c r="T98" t="s">
        <v>66</v>
      </c>
      <c r="U98" t="s">
        <v>67</v>
      </c>
    </row>
    <row r="99" spans="1:21">
      <c r="A99">
        <v>2008</v>
      </c>
      <c r="B99">
        <v>2</v>
      </c>
      <c r="C99" t="s">
        <v>68</v>
      </c>
      <c r="D99" t="s">
        <v>175</v>
      </c>
      <c r="E99" s="7">
        <v>0</v>
      </c>
      <c r="F99" s="7">
        <v>0</v>
      </c>
      <c r="G99" s="6">
        <v>19.260000000000002</v>
      </c>
      <c r="H99" s="6">
        <v>7.95</v>
      </c>
      <c r="I99" s="6">
        <v>30.3</v>
      </c>
      <c r="J99" s="6">
        <v>62.53</v>
      </c>
      <c r="K99" s="6">
        <v>0.63</v>
      </c>
      <c r="L99" s="6">
        <v>18.260000000000002</v>
      </c>
      <c r="M99" s="6">
        <v>101.29</v>
      </c>
      <c r="N99" s="6">
        <v>8.51</v>
      </c>
      <c r="O99" s="6">
        <v>8.41</v>
      </c>
      <c r="P99" s="6">
        <v>1.47</v>
      </c>
      <c r="Q99" t="s">
        <v>64</v>
      </c>
      <c r="R99" t="s">
        <v>65</v>
      </c>
      <c r="S99" t="s">
        <v>65</v>
      </c>
      <c r="T99" t="s">
        <v>66</v>
      </c>
      <c r="U99" t="s">
        <v>67</v>
      </c>
    </row>
    <row r="100" spans="1:21">
      <c r="A100">
        <v>2008</v>
      </c>
      <c r="B100">
        <v>3</v>
      </c>
      <c r="C100" t="s">
        <v>70</v>
      </c>
      <c r="D100" t="s">
        <v>176</v>
      </c>
      <c r="E100" s="7">
        <v>0</v>
      </c>
      <c r="F100" s="7">
        <v>0</v>
      </c>
      <c r="G100" s="6">
        <v>26.87</v>
      </c>
      <c r="H100" s="6">
        <v>16.25</v>
      </c>
      <c r="I100" s="6">
        <v>36.86</v>
      </c>
      <c r="J100" s="6">
        <v>60.94</v>
      </c>
      <c r="K100" s="6">
        <v>0.96</v>
      </c>
      <c r="L100" s="6">
        <v>29.81</v>
      </c>
      <c r="M100" s="6">
        <v>100.84</v>
      </c>
      <c r="N100" s="6">
        <v>9.68</v>
      </c>
      <c r="O100" s="6">
        <v>12.69</v>
      </c>
      <c r="P100" s="6">
        <v>1.75</v>
      </c>
      <c r="Q100" t="s">
        <v>64</v>
      </c>
      <c r="R100" t="s">
        <v>65</v>
      </c>
      <c r="S100" t="s">
        <v>65</v>
      </c>
      <c r="T100" t="s">
        <v>66</v>
      </c>
      <c r="U100" t="s">
        <v>67</v>
      </c>
    </row>
    <row r="101" spans="1:21">
      <c r="A101">
        <v>2008</v>
      </c>
      <c r="B101">
        <v>4</v>
      </c>
      <c r="C101" t="s">
        <v>72</v>
      </c>
      <c r="D101" t="s">
        <v>177</v>
      </c>
      <c r="E101" s="7">
        <v>0</v>
      </c>
      <c r="F101" s="7">
        <v>0</v>
      </c>
      <c r="G101" s="6">
        <v>30.09</v>
      </c>
      <c r="H101" s="6">
        <v>20.190000000000001</v>
      </c>
      <c r="I101" s="6">
        <v>40.32</v>
      </c>
      <c r="J101" s="6">
        <v>56.46</v>
      </c>
      <c r="K101" s="6">
        <v>1.6</v>
      </c>
      <c r="L101" s="6">
        <v>48.06</v>
      </c>
      <c r="M101" s="6">
        <v>100.58</v>
      </c>
      <c r="N101" s="6">
        <v>9.99</v>
      </c>
      <c r="O101" s="6">
        <v>14.13</v>
      </c>
      <c r="P101" s="6">
        <v>2.16</v>
      </c>
      <c r="Q101" t="s">
        <v>64</v>
      </c>
      <c r="R101" t="s">
        <v>65</v>
      </c>
      <c r="S101" t="s">
        <v>65</v>
      </c>
      <c r="T101" t="s">
        <v>66</v>
      </c>
      <c r="U101" t="s">
        <v>67</v>
      </c>
    </row>
    <row r="102" spans="1:21">
      <c r="A102">
        <v>2008</v>
      </c>
      <c r="B102">
        <v>5</v>
      </c>
      <c r="C102" t="s">
        <v>74</v>
      </c>
      <c r="D102" t="s">
        <v>178</v>
      </c>
      <c r="E102" s="7">
        <v>0</v>
      </c>
      <c r="F102" s="7">
        <v>0</v>
      </c>
      <c r="G102" s="6">
        <v>30.72</v>
      </c>
      <c r="H102" s="6">
        <v>25.48</v>
      </c>
      <c r="I102" s="6">
        <v>38.65</v>
      </c>
      <c r="J102" s="6">
        <v>66.36</v>
      </c>
      <c r="K102" s="6">
        <v>5.19</v>
      </c>
      <c r="L102" s="6">
        <v>160.82</v>
      </c>
      <c r="M102" s="6">
        <v>100.21</v>
      </c>
      <c r="N102" s="6">
        <v>9.8000000000000007</v>
      </c>
      <c r="O102" s="6">
        <v>17.77</v>
      </c>
      <c r="P102" s="6">
        <v>2.15</v>
      </c>
      <c r="Q102" t="s">
        <v>64</v>
      </c>
      <c r="R102" t="s">
        <v>65</v>
      </c>
      <c r="S102" t="s">
        <v>65</v>
      </c>
      <c r="T102" t="s">
        <v>66</v>
      </c>
      <c r="U102" t="s">
        <v>67</v>
      </c>
    </row>
    <row r="103" spans="1:21">
      <c r="A103">
        <v>2008</v>
      </c>
      <c r="B103">
        <v>6</v>
      </c>
      <c r="C103" t="s">
        <v>76</v>
      </c>
      <c r="D103" t="s">
        <v>179</v>
      </c>
      <c r="E103" s="7">
        <v>160</v>
      </c>
      <c r="F103" s="7">
        <v>0</v>
      </c>
      <c r="G103" s="6">
        <v>28.46</v>
      </c>
      <c r="H103" s="6">
        <v>25.44</v>
      </c>
      <c r="I103" s="6">
        <v>33.380000000000003</v>
      </c>
      <c r="J103" s="6">
        <v>85.26</v>
      </c>
      <c r="K103" s="6">
        <v>9.73</v>
      </c>
      <c r="L103" s="6">
        <v>292.04000000000002</v>
      </c>
      <c r="M103" s="6">
        <v>100.01</v>
      </c>
      <c r="N103" s="6">
        <v>13.85</v>
      </c>
      <c r="O103" s="6">
        <v>20.68</v>
      </c>
      <c r="P103" s="6">
        <v>3.38</v>
      </c>
      <c r="Q103" t="s">
        <v>64</v>
      </c>
      <c r="R103" t="s">
        <v>65</v>
      </c>
      <c r="S103" t="s">
        <v>65</v>
      </c>
      <c r="T103" t="s">
        <v>66</v>
      </c>
      <c r="U103" t="s">
        <v>67</v>
      </c>
    </row>
    <row r="104" spans="1:21">
      <c r="A104">
        <v>2008</v>
      </c>
      <c r="B104">
        <v>7</v>
      </c>
      <c r="C104" t="s">
        <v>78</v>
      </c>
      <c r="D104" t="s">
        <v>180</v>
      </c>
      <c r="E104" s="7">
        <v>475</v>
      </c>
      <c r="F104" s="7">
        <v>0</v>
      </c>
      <c r="G104" s="6">
        <v>28.16</v>
      </c>
      <c r="H104" s="6">
        <v>25.57</v>
      </c>
      <c r="I104" s="6">
        <v>32.270000000000003</v>
      </c>
      <c r="J104" s="6">
        <v>89.37</v>
      </c>
      <c r="K104" s="6">
        <v>10.17</v>
      </c>
      <c r="L104" s="6">
        <v>315.29000000000002</v>
      </c>
      <c r="M104" s="6">
        <v>100</v>
      </c>
      <c r="N104" s="6">
        <v>10.47</v>
      </c>
      <c r="O104" s="6">
        <v>21.41</v>
      </c>
      <c r="P104" s="6">
        <v>3.23</v>
      </c>
      <c r="Q104" t="s">
        <v>64</v>
      </c>
      <c r="R104" t="s">
        <v>65</v>
      </c>
      <c r="S104" t="s">
        <v>65</v>
      </c>
      <c r="T104" t="s">
        <v>66</v>
      </c>
      <c r="U104" t="s">
        <v>67</v>
      </c>
    </row>
    <row r="105" spans="1:21">
      <c r="A105">
        <v>2008</v>
      </c>
      <c r="B105">
        <v>8</v>
      </c>
      <c r="C105" t="s">
        <v>80</v>
      </c>
      <c r="D105" t="s">
        <v>181</v>
      </c>
      <c r="E105" s="7">
        <v>334</v>
      </c>
      <c r="F105" s="7">
        <v>0</v>
      </c>
      <c r="G105" s="6">
        <v>27.88</v>
      </c>
      <c r="H105" s="6">
        <v>24.97</v>
      </c>
      <c r="I105" s="6">
        <v>32.35</v>
      </c>
      <c r="J105" s="6">
        <v>89.89</v>
      </c>
      <c r="K105" s="6">
        <v>9.1199999999999992</v>
      </c>
      <c r="L105" s="6">
        <v>282.73</v>
      </c>
      <c r="M105" s="6">
        <v>100.17</v>
      </c>
      <c r="N105" s="6">
        <v>11.9</v>
      </c>
      <c r="O105" s="6">
        <v>21.15</v>
      </c>
      <c r="P105" s="6">
        <v>2.72</v>
      </c>
      <c r="Q105" t="s">
        <v>64</v>
      </c>
      <c r="R105" t="s">
        <v>65</v>
      </c>
      <c r="S105" t="s">
        <v>65</v>
      </c>
      <c r="T105" t="s">
        <v>66</v>
      </c>
      <c r="U105" t="s">
        <v>67</v>
      </c>
    </row>
    <row r="106" spans="1:21">
      <c r="A106">
        <v>2008</v>
      </c>
      <c r="B106">
        <v>9</v>
      </c>
      <c r="C106" t="s">
        <v>82</v>
      </c>
      <c r="D106" t="s">
        <v>182</v>
      </c>
      <c r="E106" s="7">
        <v>184</v>
      </c>
      <c r="F106" s="7">
        <v>0</v>
      </c>
      <c r="G106" s="6">
        <v>27.51</v>
      </c>
      <c r="H106" s="6">
        <v>23.83</v>
      </c>
      <c r="I106" s="6">
        <v>32.03</v>
      </c>
      <c r="J106" s="6">
        <v>88.85</v>
      </c>
      <c r="K106" s="6">
        <v>5.95</v>
      </c>
      <c r="L106" s="6">
        <v>178.37</v>
      </c>
      <c r="M106" s="6">
        <v>100.42</v>
      </c>
      <c r="N106" s="6">
        <v>10.09</v>
      </c>
      <c r="O106" s="6">
        <v>20.39</v>
      </c>
      <c r="P106" s="6">
        <v>1.92</v>
      </c>
      <c r="Q106" t="s">
        <v>64</v>
      </c>
      <c r="R106" t="s">
        <v>65</v>
      </c>
      <c r="S106" t="s">
        <v>65</v>
      </c>
      <c r="T106" t="s">
        <v>66</v>
      </c>
      <c r="U106" t="s">
        <v>67</v>
      </c>
    </row>
    <row r="107" spans="1:21">
      <c r="A107">
        <v>2008</v>
      </c>
      <c r="B107">
        <v>10</v>
      </c>
      <c r="C107" t="s">
        <v>84</v>
      </c>
      <c r="D107" t="s">
        <v>183</v>
      </c>
      <c r="E107" s="7">
        <v>0</v>
      </c>
      <c r="F107" s="7">
        <v>0</v>
      </c>
      <c r="G107" s="6">
        <v>25.98</v>
      </c>
      <c r="H107" s="6">
        <v>17.91</v>
      </c>
      <c r="I107" s="6">
        <v>31.91</v>
      </c>
      <c r="J107" s="6">
        <v>85.13</v>
      </c>
      <c r="K107" s="6">
        <v>7.26</v>
      </c>
      <c r="L107" s="6">
        <v>224.93</v>
      </c>
      <c r="M107" s="6">
        <v>100.88</v>
      </c>
      <c r="N107" s="6">
        <v>17.21</v>
      </c>
      <c r="O107" s="6">
        <v>17.73</v>
      </c>
      <c r="P107" s="6">
        <v>1.76</v>
      </c>
      <c r="Q107" t="s">
        <v>64</v>
      </c>
      <c r="R107" t="s">
        <v>65</v>
      </c>
      <c r="S107" t="s">
        <v>65</v>
      </c>
      <c r="T107" t="s">
        <v>66</v>
      </c>
      <c r="U107" t="s">
        <v>67</v>
      </c>
    </row>
    <row r="108" spans="1:21">
      <c r="A108">
        <v>2008</v>
      </c>
      <c r="B108">
        <v>11</v>
      </c>
      <c r="C108" t="s">
        <v>86</v>
      </c>
      <c r="D108" t="s">
        <v>184</v>
      </c>
      <c r="E108" s="7">
        <v>0</v>
      </c>
      <c r="F108" s="7">
        <v>0</v>
      </c>
      <c r="G108" s="6">
        <v>22.42</v>
      </c>
      <c r="H108" s="6">
        <v>15.04</v>
      </c>
      <c r="I108" s="6">
        <v>29.71</v>
      </c>
      <c r="J108" s="6">
        <v>78.17</v>
      </c>
      <c r="K108" s="6">
        <v>0.01</v>
      </c>
      <c r="L108" s="6">
        <v>0.24</v>
      </c>
      <c r="M108" s="6">
        <v>101.2</v>
      </c>
      <c r="N108" s="6">
        <v>6.91</v>
      </c>
      <c r="O108" s="6">
        <v>12.98</v>
      </c>
      <c r="P108" s="6">
        <v>1.36</v>
      </c>
      <c r="Q108" t="s">
        <v>64</v>
      </c>
      <c r="R108" t="s">
        <v>65</v>
      </c>
      <c r="S108" t="s">
        <v>65</v>
      </c>
      <c r="T108" t="s">
        <v>66</v>
      </c>
      <c r="U108" t="s">
        <v>67</v>
      </c>
    </row>
    <row r="109" spans="1:21">
      <c r="A109">
        <v>2008</v>
      </c>
      <c r="B109">
        <v>12</v>
      </c>
      <c r="C109" t="s">
        <v>88</v>
      </c>
      <c r="D109" t="s">
        <v>185</v>
      </c>
      <c r="E109" s="7">
        <v>0</v>
      </c>
      <c r="F109" s="7">
        <v>0</v>
      </c>
      <c r="G109" s="6">
        <v>20.309999999999999</v>
      </c>
      <c r="H109" s="6">
        <v>12.93</v>
      </c>
      <c r="I109" s="6">
        <v>27.9</v>
      </c>
      <c r="J109" s="6">
        <v>76.44</v>
      </c>
      <c r="K109" s="6">
        <v>0.68</v>
      </c>
      <c r="L109" s="6">
        <v>20.99</v>
      </c>
      <c r="M109" s="6">
        <v>101.33</v>
      </c>
      <c r="N109" s="6">
        <v>7.36</v>
      </c>
      <c r="O109" s="6">
        <v>11.06</v>
      </c>
      <c r="P109" s="6">
        <v>1.26</v>
      </c>
      <c r="Q109" t="s">
        <v>64</v>
      </c>
      <c r="R109" t="s">
        <v>65</v>
      </c>
      <c r="S109" t="s">
        <v>65</v>
      </c>
      <c r="T109" t="s">
        <v>66</v>
      </c>
      <c r="U109" t="s">
        <v>67</v>
      </c>
    </row>
    <row r="110" spans="1:21">
      <c r="A110">
        <v>2009</v>
      </c>
      <c r="B110">
        <v>1</v>
      </c>
      <c r="C110" t="s">
        <v>62</v>
      </c>
      <c r="D110" t="s">
        <v>186</v>
      </c>
      <c r="E110" s="7">
        <v>0</v>
      </c>
      <c r="F110" s="7">
        <v>0</v>
      </c>
      <c r="G110" s="6">
        <v>19.5</v>
      </c>
      <c r="H110" s="6">
        <v>10.35</v>
      </c>
      <c r="I110" s="6">
        <v>28.93</v>
      </c>
      <c r="J110" s="6">
        <v>67.959999999999994</v>
      </c>
      <c r="K110" s="6">
        <v>0.03</v>
      </c>
      <c r="L110" s="6">
        <v>0.87</v>
      </c>
      <c r="M110" s="6">
        <v>101.44</v>
      </c>
      <c r="N110" s="6">
        <v>7.84</v>
      </c>
      <c r="O110" s="6">
        <v>9.2200000000000006</v>
      </c>
      <c r="P110" s="6">
        <v>1.46</v>
      </c>
      <c r="Q110" t="s">
        <v>64</v>
      </c>
      <c r="R110" t="s">
        <v>65</v>
      </c>
      <c r="S110" t="s">
        <v>65</v>
      </c>
      <c r="T110" t="s">
        <v>66</v>
      </c>
      <c r="U110" t="s">
        <v>67</v>
      </c>
    </row>
    <row r="111" spans="1:21">
      <c r="A111">
        <v>2009</v>
      </c>
      <c r="B111">
        <v>2</v>
      </c>
      <c r="C111" t="s">
        <v>68</v>
      </c>
      <c r="D111" t="s">
        <v>187</v>
      </c>
      <c r="E111" s="7">
        <v>0</v>
      </c>
      <c r="F111" s="7">
        <v>0</v>
      </c>
      <c r="G111" s="6">
        <v>22.13</v>
      </c>
      <c r="H111" s="6">
        <v>11.95</v>
      </c>
      <c r="I111" s="6">
        <v>33.950000000000003</v>
      </c>
      <c r="J111" s="6">
        <v>54.21</v>
      </c>
      <c r="K111" s="6">
        <v>0.69</v>
      </c>
      <c r="L111" s="6">
        <v>19.41</v>
      </c>
      <c r="M111" s="6">
        <v>101.08</v>
      </c>
      <c r="N111" s="6">
        <v>8.5500000000000007</v>
      </c>
      <c r="O111" s="6">
        <v>8.3800000000000008</v>
      </c>
      <c r="P111" s="6">
        <v>1.79</v>
      </c>
      <c r="Q111" t="s">
        <v>64</v>
      </c>
      <c r="R111" t="s">
        <v>65</v>
      </c>
      <c r="S111" t="s">
        <v>65</v>
      </c>
      <c r="T111" t="s">
        <v>66</v>
      </c>
      <c r="U111" t="s">
        <v>67</v>
      </c>
    </row>
    <row r="112" spans="1:21">
      <c r="A112">
        <v>2009</v>
      </c>
      <c r="B112">
        <v>3</v>
      </c>
      <c r="C112" t="s">
        <v>70</v>
      </c>
      <c r="D112" t="s">
        <v>188</v>
      </c>
      <c r="E112" s="7">
        <v>0</v>
      </c>
      <c r="F112" s="7">
        <v>0</v>
      </c>
      <c r="G112" s="6">
        <v>27.27</v>
      </c>
      <c r="H112" s="6">
        <v>14.51</v>
      </c>
      <c r="I112" s="6">
        <v>37.04</v>
      </c>
      <c r="J112" s="6">
        <v>48.54</v>
      </c>
      <c r="K112" s="6">
        <v>1.22</v>
      </c>
      <c r="L112" s="6">
        <v>37.89</v>
      </c>
      <c r="M112" s="6">
        <v>100.86</v>
      </c>
      <c r="N112" s="6">
        <v>9.4600000000000009</v>
      </c>
      <c r="O112" s="6">
        <v>10.16</v>
      </c>
      <c r="P112" s="6">
        <v>1.57</v>
      </c>
      <c r="Q112" t="s">
        <v>64</v>
      </c>
      <c r="R112" t="s">
        <v>65</v>
      </c>
      <c r="S112" t="s">
        <v>65</v>
      </c>
      <c r="T112" t="s">
        <v>66</v>
      </c>
      <c r="U112" t="s">
        <v>67</v>
      </c>
    </row>
    <row r="113" spans="1:21">
      <c r="A113">
        <v>2009</v>
      </c>
      <c r="B113">
        <v>4</v>
      </c>
      <c r="C113" t="s">
        <v>72</v>
      </c>
      <c r="D113" t="s">
        <v>189</v>
      </c>
      <c r="E113" s="7">
        <v>0</v>
      </c>
      <c r="F113" s="7">
        <v>0</v>
      </c>
      <c r="G113" s="6">
        <v>30.6</v>
      </c>
      <c r="H113" s="6">
        <v>23</v>
      </c>
      <c r="I113" s="6">
        <v>39.76</v>
      </c>
      <c r="J113" s="6">
        <v>60.91</v>
      </c>
      <c r="K113" s="6">
        <v>1.48</v>
      </c>
      <c r="L113" s="6">
        <v>44.29</v>
      </c>
      <c r="M113" s="6">
        <v>100.54</v>
      </c>
      <c r="N113" s="6">
        <v>10.7</v>
      </c>
      <c r="O113" s="6">
        <v>15.56</v>
      </c>
      <c r="P113" s="6">
        <v>2.7</v>
      </c>
      <c r="Q113" t="s">
        <v>64</v>
      </c>
      <c r="R113" t="s">
        <v>65</v>
      </c>
      <c r="S113" t="s">
        <v>65</v>
      </c>
      <c r="T113" t="s">
        <v>66</v>
      </c>
      <c r="U113" t="s">
        <v>67</v>
      </c>
    </row>
    <row r="114" spans="1:21">
      <c r="A114">
        <v>2009</v>
      </c>
      <c r="B114">
        <v>5</v>
      </c>
      <c r="C114" t="s">
        <v>74</v>
      </c>
      <c r="D114" t="s">
        <v>190</v>
      </c>
      <c r="E114" s="7">
        <v>1</v>
      </c>
      <c r="F114" s="7">
        <v>0</v>
      </c>
      <c r="G114" s="6">
        <v>29.86</v>
      </c>
      <c r="H114" s="6">
        <v>24.59</v>
      </c>
      <c r="I114" s="6">
        <v>38.549999999999997</v>
      </c>
      <c r="J114" s="6">
        <v>73.290000000000006</v>
      </c>
      <c r="K114" s="6">
        <v>7.98</v>
      </c>
      <c r="L114" s="6">
        <v>247.39</v>
      </c>
      <c r="M114" s="6">
        <v>100.32</v>
      </c>
      <c r="N114" s="6">
        <v>19.84</v>
      </c>
      <c r="O114" s="6">
        <v>18.78</v>
      </c>
      <c r="P114" s="6">
        <v>2.69</v>
      </c>
      <c r="Q114" t="s">
        <v>64</v>
      </c>
      <c r="R114" t="s">
        <v>65</v>
      </c>
      <c r="S114" t="s">
        <v>65</v>
      </c>
      <c r="T114" t="s">
        <v>66</v>
      </c>
      <c r="U114" t="s">
        <v>67</v>
      </c>
    </row>
    <row r="115" spans="1:21">
      <c r="A115">
        <v>2009</v>
      </c>
      <c r="B115">
        <v>6</v>
      </c>
      <c r="C115" t="s">
        <v>76</v>
      </c>
      <c r="D115" t="s">
        <v>191</v>
      </c>
      <c r="E115" s="7">
        <v>0</v>
      </c>
      <c r="F115" s="7">
        <v>0</v>
      </c>
      <c r="G115" s="6">
        <v>29.03</v>
      </c>
      <c r="H115" s="6">
        <v>25.46</v>
      </c>
      <c r="I115" s="6">
        <v>34.26</v>
      </c>
      <c r="J115" s="6">
        <v>85.43</v>
      </c>
      <c r="K115" s="6">
        <v>9.2100000000000009</v>
      </c>
      <c r="L115" s="6">
        <v>276.31</v>
      </c>
      <c r="M115" s="6">
        <v>100.01</v>
      </c>
      <c r="N115" s="6">
        <v>9.49</v>
      </c>
      <c r="O115" s="6">
        <v>21.41</v>
      </c>
      <c r="P115" s="6">
        <v>2.77</v>
      </c>
      <c r="Q115" t="s">
        <v>64</v>
      </c>
      <c r="R115" t="s">
        <v>65</v>
      </c>
      <c r="S115" t="s">
        <v>65</v>
      </c>
      <c r="T115" t="s">
        <v>66</v>
      </c>
      <c r="U115" t="s">
        <v>67</v>
      </c>
    </row>
    <row r="116" spans="1:21">
      <c r="A116">
        <v>2009</v>
      </c>
      <c r="B116">
        <v>7</v>
      </c>
      <c r="C116" t="s">
        <v>78</v>
      </c>
      <c r="D116" t="s">
        <v>192</v>
      </c>
      <c r="E116" s="7">
        <v>4</v>
      </c>
      <c r="F116" s="7">
        <v>0</v>
      </c>
      <c r="G116" s="6">
        <v>28.53</v>
      </c>
      <c r="H116" s="6">
        <v>25.72</v>
      </c>
      <c r="I116" s="6">
        <v>32.92</v>
      </c>
      <c r="J116" s="6">
        <v>88.78</v>
      </c>
      <c r="K116" s="6">
        <v>15.46</v>
      </c>
      <c r="L116" s="6">
        <v>479.34</v>
      </c>
      <c r="M116" s="6">
        <v>99.91</v>
      </c>
      <c r="N116" s="6">
        <v>11.87</v>
      </c>
      <c r="O116" s="6">
        <v>21.75</v>
      </c>
      <c r="P116" s="6">
        <v>3.08</v>
      </c>
      <c r="Q116" t="s">
        <v>64</v>
      </c>
      <c r="R116" t="s">
        <v>65</v>
      </c>
      <c r="S116" t="s">
        <v>65</v>
      </c>
      <c r="T116" t="s">
        <v>66</v>
      </c>
      <c r="U116" t="s">
        <v>67</v>
      </c>
    </row>
    <row r="117" spans="1:21">
      <c r="A117">
        <v>2009</v>
      </c>
      <c r="B117">
        <v>8</v>
      </c>
      <c r="C117" t="s">
        <v>80</v>
      </c>
      <c r="D117" t="s">
        <v>193</v>
      </c>
      <c r="E117" s="7">
        <v>127</v>
      </c>
      <c r="F117" s="7">
        <v>0</v>
      </c>
      <c r="G117" s="6">
        <v>28.33</v>
      </c>
      <c r="H117" s="6">
        <v>24.41</v>
      </c>
      <c r="I117" s="6">
        <v>34.119999999999997</v>
      </c>
      <c r="J117" s="6">
        <v>88.84</v>
      </c>
      <c r="K117" s="6">
        <v>13.69</v>
      </c>
      <c r="L117" s="6">
        <v>424.5</v>
      </c>
      <c r="M117" s="6">
        <v>100.26</v>
      </c>
      <c r="N117" s="6">
        <v>9.99</v>
      </c>
      <c r="O117" s="6">
        <v>21.45</v>
      </c>
      <c r="P117" s="6">
        <v>2.34</v>
      </c>
      <c r="Q117" t="s">
        <v>64</v>
      </c>
      <c r="R117" t="s">
        <v>65</v>
      </c>
      <c r="S117" t="s">
        <v>65</v>
      </c>
      <c r="T117" t="s">
        <v>66</v>
      </c>
      <c r="U117" t="s">
        <v>67</v>
      </c>
    </row>
    <row r="118" spans="1:21">
      <c r="A118">
        <v>2009</v>
      </c>
      <c r="B118">
        <v>9</v>
      </c>
      <c r="C118" t="s">
        <v>82</v>
      </c>
      <c r="D118" t="s">
        <v>194</v>
      </c>
      <c r="E118" s="7">
        <v>188</v>
      </c>
      <c r="F118" s="7">
        <v>0</v>
      </c>
      <c r="G118" s="6">
        <v>27.74</v>
      </c>
      <c r="H118" s="6">
        <v>24.36</v>
      </c>
      <c r="I118" s="6">
        <v>32.99</v>
      </c>
      <c r="J118" s="6">
        <v>89.23</v>
      </c>
      <c r="K118" s="6">
        <v>7.07</v>
      </c>
      <c r="L118" s="6">
        <v>212.11</v>
      </c>
      <c r="M118" s="6">
        <v>100.42</v>
      </c>
      <c r="N118" s="6">
        <v>12.74</v>
      </c>
      <c r="O118" s="6">
        <v>20.75</v>
      </c>
      <c r="P118" s="6">
        <v>2</v>
      </c>
      <c r="Q118" t="s">
        <v>64</v>
      </c>
      <c r="R118" t="s">
        <v>65</v>
      </c>
      <c r="S118" t="s">
        <v>65</v>
      </c>
      <c r="T118" t="s">
        <v>66</v>
      </c>
      <c r="U118" t="s">
        <v>67</v>
      </c>
    </row>
    <row r="119" spans="1:21">
      <c r="A119">
        <v>2009</v>
      </c>
      <c r="B119">
        <v>10</v>
      </c>
      <c r="C119" t="s">
        <v>84</v>
      </c>
      <c r="D119" t="s">
        <v>195</v>
      </c>
      <c r="E119" s="7">
        <v>154</v>
      </c>
      <c r="F119" s="7">
        <v>0</v>
      </c>
      <c r="G119" s="6">
        <v>25.63</v>
      </c>
      <c r="H119" s="6">
        <v>18.66</v>
      </c>
      <c r="I119" s="6">
        <v>31.02</v>
      </c>
      <c r="J119" s="6">
        <v>85.6</v>
      </c>
      <c r="K119" s="6">
        <v>4.42</v>
      </c>
      <c r="L119" s="6">
        <v>136.93</v>
      </c>
      <c r="M119" s="6">
        <v>100.82</v>
      </c>
      <c r="N119" s="6">
        <v>10.96</v>
      </c>
      <c r="O119" s="6">
        <v>17.57</v>
      </c>
      <c r="P119" s="6">
        <v>1.71</v>
      </c>
      <c r="Q119" t="s">
        <v>64</v>
      </c>
      <c r="R119" t="s">
        <v>65</v>
      </c>
      <c r="S119" t="s">
        <v>65</v>
      </c>
      <c r="T119" t="s">
        <v>66</v>
      </c>
      <c r="U119" t="s">
        <v>67</v>
      </c>
    </row>
    <row r="120" spans="1:21">
      <c r="A120">
        <v>2009</v>
      </c>
      <c r="B120">
        <v>11</v>
      </c>
      <c r="C120" t="s">
        <v>86</v>
      </c>
      <c r="D120" t="s">
        <v>196</v>
      </c>
      <c r="E120" s="7">
        <v>0</v>
      </c>
      <c r="F120" s="7">
        <v>0</v>
      </c>
      <c r="G120" s="6">
        <v>22.69</v>
      </c>
      <c r="H120" s="6">
        <v>12.87</v>
      </c>
      <c r="I120" s="6">
        <v>30.18</v>
      </c>
      <c r="J120" s="6">
        <v>80.09</v>
      </c>
      <c r="K120" s="6">
        <v>0.87</v>
      </c>
      <c r="L120" s="6">
        <v>26.16</v>
      </c>
      <c r="M120" s="6">
        <v>101.2</v>
      </c>
      <c r="N120" s="6">
        <v>7.74</v>
      </c>
      <c r="O120" s="6">
        <v>13.68</v>
      </c>
      <c r="P120" s="6">
        <v>1.43</v>
      </c>
      <c r="Q120" t="s">
        <v>64</v>
      </c>
      <c r="R120" t="s">
        <v>65</v>
      </c>
      <c r="S120" t="s">
        <v>65</v>
      </c>
      <c r="T120" t="s">
        <v>66</v>
      </c>
      <c r="U120" t="s">
        <v>67</v>
      </c>
    </row>
    <row r="121" spans="1:21">
      <c r="A121">
        <v>2009</v>
      </c>
      <c r="B121">
        <v>12</v>
      </c>
      <c r="C121" t="s">
        <v>88</v>
      </c>
      <c r="D121" t="s">
        <v>197</v>
      </c>
      <c r="E121" s="7">
        <v>0</v>
      </c>
      <c r="F121" s="7">
        <v>0</v>
      </c>
      <c r="G121" s="6">
        <v>18.48</v>
      </c>
      <c r="H121" s="6">
        <v>9.6</v>
      </c>
      <c r="I121" s="6">
        <v>26.76</v>
      </c>
      <c r="J121" s="6">
        <v>75.430000000000007</v>
      </c>
      <c r="K121" s="6">
        <v>0.04</v>
      </c>
      <c r="L121" s="6">
        <v>1.36</v>
      </c>
      <c r="M121" s="6">
        <v>101.43</v>
      </c>
      <c r="N121" s="6">
        <v>7.93</v>
      </c>
      <c r="O121" s="6">
        <v>9.74</v>
      </c>
      <c r="P121" s="6">
        <v>1.45</v>
      </c>
      <c r="Q121" t="s">
        <v>64</v>
      </c>
      <c r="R121" t="s">
        <v>65</v>
      </c>
      <c r="S121" t="s">
        <v>65</v>
      </c>
      <c r="T121" t="s">
        <v>66</v>
      </c>
      <c r="U121" t="s">
        <v>67</v>
      </c>
    </row>
    <row r="122" spans="1:21">
      <c r="A122">
        <v>2010</v>
      </c>
      <c r="B122">
        <v>1</v>
      </c>
      <c r="C122" t="s">
        <v>62</v>
      </c>
      <c r="D122" t="s">
        <v>198</v>
      </c>
      <c r="E122" s="7">
        <v>0</v>
      </c>
      <c r="F122" s="7">
        <v>0</v>
      </c>
      <c r="G122" s="6">
        <v>17.579999999999998</v>
      </c>
      <c r="H122" s="6">
        <v>9.3800000000000008</v>
      </c>
      <c r="I122" s="6">
        <v>27.96</v>
      </c>
      <c r="J122" s="6">
        <v>65.900000000000006</v>
      </c>
      <c r="K122" s="6">
        <v>0</v>
      </c>
      <c r="L122" s="6">
        <v>0.02</v>
      </c>
      <c r="M122" s="6">
        <v>101.5</v>
      </c>
      <c r="N122" s="6">
        <v>9.34</v>
      </c>
      <c r="O122" s="6">
        <v>7.77</v>
      </c>
      <c r="P122" s="6">
        <v>1.89</v>
      </c>
      <c r="Q122" t="s">
        <v>64</v>
      </c>
      <c r="R122" t="s">
        <v>65</v>
      </c>
      <c r="S122" t="s">
        <v>65</v>
      </c>
      <c r="T122" t="s">
        <v>66</v>
      </c>
      <c r="U122" t="s">
        <v>67</v>
      </c>
    </row>
    <row r="123" spans="1:21">
      <c r="A123">
        <v>2010</v>
      </c>
      <c r="B123">
        <v>2</v>
      </c>
      <c r="C123" t="s">
        <v>68</v>
      </c>
      <c r="D123" t="s">
        <v>199</v>
      </c>
      <c r="E123" s="7">
        <v>0</v>
      </c>
      <c r="F123" s="7">
        <v>0</v>
      </c>
      <c r="G123" s="6">
        <v>21.55</v>
      </c>
      <c r="H123" s="6">
        <v>11.01</v>
      </c>
      <c r="I123" s="6">
        <v>31.8</v>
      </c>
      <c r="J123" s="6">
        <v>51.39</v>
      </c>
      <c r="K123" s="6">
        <v>0.81</v>
      </c>
      <c r="L123" s="6">
        <v>22.66</v>
      </c>
      <c r="M123" s="6">
        <v>101.25</v>
      </c>
      <c r="N123" s="6">
        <v>8.01</v>
      </c>
      <c r="O123" s="6">
        <v>7.88</v>
      </c>
      <c r="P123" s="6">
        <v>1.61</v>
      </c>
      <c r="Q123" t="s">
        <v>64</v>
      </c>
      <c r="R123" t="s">
        <v>65</v>
      </c>
      <c r="S123" t="s">
        <v>65</v>
      </c>
      <c r="T123" t="s">
        <v>66</v>
      </c>
      <c r="U123" t="s">
        <v>67</v>
      </c>
    </row>
    <row r="124" spans="1:21">
      <c r="A124">
        <v>2010</v>
      </c>
      <c r="B124">
        <v>3</v>
      </c>
      <c r="C124" t="s">
        <v>70</v>
      </c>
      <c r="D124" t="s">
        <v>200</v>
      </c>
      <c r="E124" s="7">
        <v>0</v>
      </c>
      <c r="F124" s="7">
        <v>0</v>
      </c>
      <c r="G124" s="6">
        <v>28.22</v>
      </c>
      <c r="H124" s="6">
        <v>17.489999999999998</v>
      </c>
      <c r="I124" s="6">
        <v>38.19</v>
      </c>
      <c r="J124" s="6">
        <v>52.84</v>
      </c>
      <c r="K124" s="6">
        <v>0.94</v>
      </c>
      <c r="L124" s="6">
        <v>29.18</v>
      </c>
      <c r="M124" s="6">
        <v>100.87</v>
      </c>
      <c r="N124" s="6">
        <v>12.62</v>
      </c>
      <c r="O124" s="6">
        <v>11.91</v>
      </c>
      <c r="P124" s="6">
        <v>2.63</v>
      </c>
      <c r="Q124" t="s">
        <v>64</v>
      </c>
      <c r="R124" t="s">
        <v>65</v>
      </c>
      <c r="S124" t="s">
        <v>65</v>
      </c>
      <c r="T124" t="s">
        <v>66</v>
      </c>
      <c r="U124" t="s">
        <v>67</v>
      </c>
    </row>
    <row r="125" spans="1:21">
      <c r="A125">
        <v>2010</v>
      </c>
      <c r="B125">
        <v>4</v>
      </c>
      <c r="C125" t="s">
        <v>72</v>
      </c>
      <c r="D125" t="s">
        <v>201</v>
      </c>
      <c r="E125" s="7">
        <v>0</v>
      </c>
      <c r="F125" s="7">
        <v>0</v>
      </c>
      <c r="G125" s="6">
        <v>31.1</v>
      </c>
      <c r="H125" s="6">
        <v>24.53</v>
      </c>
      <c r="I125" s="6">
        <v>41.5</v>
      </c>
      <c r="J125" s="6">
        <v>64.260000000000005</v>
      </c>
      <c r="K125" s="6">
        <v>2.33</v>
      </c>
      <c r="L125" s="6">
        <v>69.88</v>
      </c>
      <c r="M125" s="6">
        <v>100.61</v>
      </c>
      <c r="N125" s="6">
        <v>13.39</v>
      </c>
      <c r="O125" s="6">
        <v>17.170000000000002</v>
      </c>
      <c r="P125" s="6">
        <v>3.71</v>
      </c>
      <c r="Q125" t="s">
        <v>64</v>
      </c>
      <c r="R125" t="s">
        <v>65</v>
      </c>
      <c r="S125" t="s">
        <v>65</v>
      </c>
      <c r="T125" t="s">
        <v>66</v>
      </c>
      <c r="U125" t="s">
        <v>67</v>
      </c>
    </row>
    <row r="126" spans="1:21">
      <c r="A126">
        <v>2010</v>
      </c>
      <c r="B126">
        <v>5</v>
      </c>
      <c r="C126" t="s">
        <v>74</v>
      </c>
      <c r="D126" t="s">
        <v>202</v>
      </c>
      <c r="E126" s="7">
        <v>0</v>
      </c>
      <c r="F126" s="7">
        <v>0</v>
      </c>
      <c r="G126" s="6">
        <v>29.73</v>
      </c>
      <c r="H126" s="6">
        <v>24.35</v>
      </c>
      <c r="I126" s="6">
        <v>39.24</v>
      </c>
      <c r="J126" s="6">
        <v>76.53</v>
      </c>
      <c r="K126" s="6">
        <v>9.86</v>
      </c>
      <c r="L126" s="6">
        <v>305.72000000000003</v>
      </c>
      <c r="M126" s="6">
        <v>100.32</v>
      </c>
      <c r="N126" s="6">
        <v>11.14</v>
      </c>
      <c r="O126" s="6">
        <v>19.55</v>
      </c>
      <c r="P126" s="6">
        <v>2.94</v>
      </c>
      <c r="Q126" t="s">
        <v>64</v>
      </c>
      <c r="R126" t="s">
        <v>65</v>
      </c>
      <c r="S126" t="s">
        <v>65</v>
      </c>
      <c r="T126" t="s">
        <v>66</v>
      </c>
      <c r="U126" t="s">
        <v>67</v>
      </c>
    </row>
    <row r="127" spans="1:21">
      <c r="A127">
        <v>2010</v>
      </c>
      <c r="B127">
        <v>6</v>
      </c>
      <c r="C127" t="s">
        <v>76</v>
      </c>
      <c r="D127" t="s">
        <v>203</v>
      </c>
      <c r="E127" s="7">
        <v>0</v>
      </c>
      <c r="F127" s="7">
        <v>0</v>
      </c>
      <c r="G127" s="6">
        <v>28.63</v>
      </c>
      <c r="H127" s="6">
        <v>25.91</v>
      </c>
      <c r="I127" s="6">
        <v>32.520000000000003</v>
      </c>
      <c r="J127" s="6">
        <v>90.02</v>
      </c>
      <c r="K127" s="6">
        <v>14.13</v>
      </c>
      <c r="L127" s="6">
        <v>424</v>
      </c>
      <c r="M127" s="6">
        <v>100.17</v>
      </c>
      <c r="N127" s="6">
        <v>12.1</v>
      </c>
      <c r="O127" s="6">
        <v>22.14</v>
      </c>
      <c r="P127" s="6">
        <v>3.33</v>
      </c>
      <c r="Q127" t="s">
        <v>64</v>
      </c>
      <c r="R127" t="s">
        <v>65</v>
      </c>
      <c r="S127" t="s">
        <v>65</v>
      </c>
      <c r="T127" t="s">
        <v>66</v>
      </c>
      <c r="U127" t="s">
        <v>67</v>
      </c>
    </row>
    <row r="128" spans="1:21">
      <c r="A128">
        <v>2010</v>
      </c>
      <c r="B128">
        <v>7</v>
      </c>
      <c r="C128" t="s">
        <v>78</v>
      </c>
      <c r="D128" t="s">
        <v>204</v>
      </c>
      <c r="E128" s="7">
        <v>35</v>
      </c>
      <c r="F128" s="7">
        <v>0</v>
      </c>
      <c r="G128" s="6">
        <v>28.41</v>
      </c>
      <c r="H128" s="6">
        <v>25.5</v>
      </c>
      <c r="I128" s="6">
        <v>32.97</v>
      </c>
      <c r="J128" s="6">
        <v>89.27</v>
      </c>
      <c r="K128" s="6">
        <v>6.32</v>
      </c>
      <c r="L128" s="6">
        <v>195.8</v>
      </c>
      <c r="M128" s="6">
        <v>100.26</v>
      </c>
      <c r="N128" s="6">
        <v>11.99</v>
      </c>
      <c r="O128" s="6">
        <v>21.63</v>
      </c>
      <c r="P128" s="6">
        <v>2.96</v>
      </c>
      <c r="Q128" t="s">
        <v>64</v>
      </c>
      <c r="R128" t="s">
        <v>65</v>
      </c>
      <c r="S128" t="s">
        <v>65</v>
      </c>
      <c r="T128" t="s">
        <v>66</v>
      </c>
      <c r="U128" t="s">
        <v>67</v>
      </c>
    </row>
    <row r="129" spans="1:21">
      <c r="A129">
        <v>2010</v>
      </c>
      <c r="B129">
        <v>8</v>
      </c>
      <c r="C129" t="s">
        <v>80</v>
      </c>
      <c r="D129" t="s">
        <v>205</v>
      </c>
      <c r="E129" s="7">
        <v>183</v>
      </c>
      <c r="F129" s="7">
        <v>0</v>
      </c>
      <c r="G129" s="6">
        <v>28.24</v>
      </c>
      <c r="H129" s="6">
        <v>25.34</v>
      </c>
      <c r="I129" s="6">
        <v>33.18</v>
      </c>
      <c r="J129" s="6">
        <v>88.33</v>
      </c>
      <c r="K129" s="6">
        <v>8.5500000000000007</v>
      </c>
      <c r="L129" s="6">
        <v>265.08999999999997</v>
      </c>
      <c r="M129" s="6">
        <v>100.35</v>
      </c>
      <c r="N129" s="6">
        <v>8.17</v>
      </c>
      <c r="O129" s="6">
        <v>21.14</v>
      </c>
      <c r="P129" s="6">
        <v>2.27</v>
      </c>
      <c r="Q129" t="s">
        <v>64</v>
      </c>
      <c r="R129" t="s">
        <v>65</v>
      </c>
      <c r="S129" t="s">
        <v>65</v>
      </c>
      <c r="T129" t="s">
        <v>66</v>
      </c>
      <c r="U129" t="s">
        <v>67</v>
      </c>
    </row>
    <row r="130" spans="1:21">
      <c r="A130">
        <v>2010</v>
      </c>
      <c r="B130">
        <v>9</v>
      </c>
      <c r="C130" t="s">
        <v>82</v>
      </c>
      <c r="D130" t="s">
        <v>206</v>
      </c>
      <c r="E130" s="7">
        <v>165</v>
      </c>
      <c r="F130" s="7">
        <v>0</v>
      </c>
      <c r="G130" s="6">
        <v>27.65</v>
      </c>
      <c r="H130" s="6">
        <v>24.37</v>
      </c>
      <c r="I130" s="6">
        <v>32.31</v>
      </c>
      <c r="J130" s="6">
        <v>89.18</v>
      </c>
      <c r="K130" s="6">
        <v>6.38</v>
      </c>
      <c r="L130" s="6">
        <v>191.53</v>
      </c>
      <c r="M130" s="6">
        <v>100.51</v>
      </c>
      <c r="N130" s="6">
        <v>8.27</v>
      </c>
      <c r="O130" s="6">
        <v>20.62</v>
      </c>
      <c r="P130" s="6">
        <v>1.94</v>
      </c>
      <c r="Q130" t="s">
        <v>64</v>
      </c>
      <c r="R130" t="s">
        <v>65</v>
      </c>
      <c r="S130" t="s">
        <v>65</v>
      </c>
      <c r="T130" t="s">
        <v>66</v>
      </c>
      <c r="U130" t="s">
        <v>67</v>
      </c>
    </row>
    <row r="131" spans="1:21">
      <c r="A131">
        <v>2010</v>
      </c>
      <c r="B131">
        <v>10</v>
      </c>
      <c r="C131" t="s">
        <v>84</v>
      </c>
      <c r="D131" t="s">
        <v>207</v>
      </c>
      <c r="E131" s="7">
        <v>21</v>
      </c>
      <c r="F131" s="7">
        <v>0</v>
      </c>
      <c r="G131" s="6">
        <v>26.61</v>
      </c>
      <c r="H131" s="6">
        <v>19.22</v>
      </c>
      <c r="I131" s="6">
        <v>32.81</v>
      </c>
      <c r="J131" s="6">
        <v>86.36</v>
      </c>
      <c r="K131" s="6">
        <v>7.71</v>
      </c>
      <c r="L131" s="6">
        <v>239.06</v>
      </c>
      <c r="M131" s="6">
        <v>100.64</v>
      </c>
      <c r="N131" s="6">
        <v>12.7</v>
      </c>
      <c r="O131" s="6">
        <v>18.77</v>
      </c>
      <c r="P131" s="6">
        <v>1.67</v>
      </c>
      <c r="Q131" t="s">
        <v>64</v>
      </c>
      <c r="R131" t="s">
        <v>65</v>
      </c>
      <c r="S131" t="s">
        <v>65</v>
      </c>
      <c r="T131" t="s">
        <v>66</v>
      </c>
      <c r="U131" t="s">
        <v>67</v>
      </c>
    </row>
    <row r="132" spans="1:21">
      <c r="A132">
        <v>2010</v>
      </c>
      <c r="B132">
        <v>11</v>
      </c>
      <c r="C132" t="s">
        <v>86</v>
      </c>
      <c r="D132" t="s">
        <v>208</v>
      </c>
      <c r="E132" s="7">
        <v>5</v>
      </c>
      <c r="F132" s="7">
        <v>0</v>
      </c>
      <c r="G132" s="6">
        <v>23.78</v>
      </c>
      <c r="H132" s="6">
        <v>14.27</v>
      </c>
      <c r="I132" s="6">
        <v>30.59</v>
      </c>
      <c r="J132" s="6">
        <v>79.03</v>
      </c>
      <c r="K132" s="6">
        <v>0.54</v>
      </c>
      <c r="L132" s="6">
        <v>16.309999999999999</v>
      </c>
      <c r="M132" s="6">
        <v>101.1</v>
      </c>
      <c r="N132" s="6">
        <v>7.92</v>
      </c>
      <c r="O132" s="6">
        <v>14.37</v>
      </c>
      <c r="P132" s="6">
        <v>1.33</v>
      </c>
      <c r="Q132" t="s">
        <v>64</v>
      </c>
      <c r="R132" t="s">
        <v>65</v>
      </c>
      <c r="S132" t="s">
        <v>65</v>
      </c>
      <c r="T132" t="s">
        <v>66</v>
      </c>
      <c r="U132" t="s">
        <v>67</v>
      </c>
    </row>
    <row r="133" spans="1:21">
      <c r="A133">
        <v>2010</v>
      </c>
      <c r="B133">
        <v>12</v>
      </c>
      <c r="C133" t="s">
        <v>88</v>
      </c>
      <c r="D133" t="s">
        <v>209</v>
      </c>
      <c r="E133" s="7">
        <v>0</v>
      </c>
      <c r="F133" s="7">
        <v>0</v>
      </c>
      <c r="G133" s="6">
        <v>18.63</v>
      </c>
      <c r="H133" s="6">
        <v>9.85</v>
      </c>
      <c r="I133" s="6">
        <v>27.34</v>
      </c>
      <c r="J133" s="6">
        <v>77.540000000000006</v>
      </c>
      <c r="K133" s="6">
        <v>2.19</v>
      </c>
      <c r="L133" s="6">
        <v>67.790000000000006</v>
      </c>
      <c r="M133" s="6">
        <v>101.11</v>
      </c>
      <c r="N133" s="6">
        <v>7.54</v>
      </c>
      <c r="O133" s="6">
        <v>10.27</v>
      </c>
      <c r="P133" s="6">
        <v>1.66</v>
      </c>
      <c r="Q133" t="s">
        <v>64</v>
      </c>
      <c r="R133" t="s">
        <v>65</v>
      </c>
      <c r="S133" t="s">
        <v>65</v>
      </c>
      <c r="T133" t="s">
        <v>66</v>
      </c>
      <c r="U133" t="s">
        <v>67</v>
      </c>
    </row>
    <row r="134" spans="1:21">
      <c r="A134">
        <v>2011</v>
      </c>
      <c r="B134">
        <v>1</v>
      </c>
      <c r="C134" t="s">
        <v>62</v>
      </c>
      <c r="D134" t="s">
        <v>210</v>
      </c>
      <c r="E134" s="7">
        <v>0</v>
      </c>
      <c r="F134" s="7">
        <v>0</v>
      </c>
      <c r="G134" s="6">
        <v>16.89</v>
      </c>
      <c r="H134" s="6">
        <v>7.91</v>
      </c>
      <c r="I134" s="6">
        <v>27.55</v>
      </c>
      <c r="J134" s="6">
        <v>68.44</v>
      </c>
      <c r="K134" s="6">
        <v>0</v>
      </c>
      <c r="L134" s="6">
        <v>0.11</v>
      </c>
      <c r="M134" s="6">
        <v>101.29</v>
      </c>
      <c r="N134" s="6">
        <v>8.27</v>
      </c>
      <c r="O134" s="6">
        <v>7.96</v>
      </c>
      <c r="P134" s="6">
        <v>1.7</v>
      </c>
      <c r="Q134" t="s">
        <v>64</v>
      </c>
      <c r="R134" t="s">
        <v>65</v>
      </c>
      <c r="S134" t="s">
        <v>65</v>
      </c>
      <c r="T134" t="s">
        <v>66</v>
      </c>
      <c r="U134" t="s">
        <v>67</v>
      </c>
    </row>
    <row r="135" spans="1:21">
      <c r="A135">
        <v>2011</v>
      </c>
      <c r="B135">
        <v>2</v>
      </c>
      <c r="C135" t="s">
        <v>68</v>
      </c>
      <c r="D135" t="s">
        <v>211</v>
      </c>
      <c r="E135" s="7">
        <v>0</v>
      </c>
      <c r="F135" s="7">
        <v>0</v>
      </c>
      <c r="G135" s="6">
        <v>21.81</v>
      </c>
      <c r="H135" s="6">
        <v>12.19</v>
      </c>
      <c r="I135" s="6">
        <v>31.71</v>
      </c>
      <c r="J135" s="6">
        <v>55.09</v>
      </c>
      <c r="K135" s="6">
        <v>0.06</v>
      </c>
      <c r="L135" s="6">
        <v>1.59</v>
      </c>
      <c r="M135" s="6">
        <v>101.14</v>
      </c>
      <c r="N135" s="6">
        <v>10.62</v>
      </c>
      <c r="O135" s="6">
        <v>8.5299999999999994</v>
      </c>
      <c r="P135" s="6">
        <v>1.78</v>
      </c>
      <c r="Q135" t="s">
        <v>64</v>
      </c>
      <c r="R135" t="s">
        <v>65</v>
      </c>
      <c r="S135" t="s">
        <v>65</v>
      </c>
      <c r="T135" t="s">
        <v>66</v>
      </c>
      <c r="U135" t="s">
        <v>67</v>
      </c>
    </row>
    <row r="136" spans="1:21">
      <c r="A136">
        <v>2011</v>
      </c>
      <c r="B136">
        <v>3</v>
      </c>
      <c r="C136" t="s">
        <v>70</v>
      </c>
      <c r="D136" t="s">
        <v>212</v>
      </c>
      <c r="E136" s="7">
        <v>0</v>
      </c>
      <c r="F136" s="7">
        <v>0</v>
      </c>
      <c r="G136" s="6">
        <v>26.89</v>
      </c>
      <c r="H136" s="6">
        <v>14.32</v>
      </c>
      <c r="I136" s="6">
        <v>36.79</v>
      </c>
      <c r="J136" s="6">
        <v>54.4</v>
      </c>
      <c r="K136" s="6">
        <v>1.47</v>
      </c>
      <c r="L136" s="6">
        <v>45.55</v>
      </c>
      <c r="M136" s="6">
        <v>100.87</v>
      </c>
      <c r="N136" s="6">
        <v>13.46</v>
      </c>
      <c r="O136" s="6">
        <v>11.41</v>
      </c>
      <c r="P136" s="6">
        <v>2.5299999999999998</v>
      </c>
      <c r="Q136" t="s">
        <v>64</v>
      </c>
      <c r="R136" t="s">
        <v>65</v>
      </c>
      <c r="S136" t="s">
        <v>65</v>
      </c>
      <c r="T136" t="s">
        <v>66</v>
      </c>
      <c r="U136" t="s">
        <v>67</v>
      </c>
    </row>
    <row r="137" spans="1:21">
      <c r="A137">
        <v>2011</v>
      </c>
      <c r="B137">
        <v>4</v>
      </c>
      <c r="C137" t="s">
        <v>72</v>
      </c>
      <c r="D137" t="s">
        <v>213</v>
      </c>
      <c r="E137" s="7">
        <v>0</v>
      </c>
      <c r="F137" s="7">
        <v>0</v>
      </c>
      <c r="G137" s="6">
        <v>29.09</v>
      </c>
      <c r="H137" s="6">
        <v>21.12</v>
      </c>
      <c r="I137" s="6">
        <v>38.33</v>
      </c>
      <c r="J137" s="6">
        <v>61.7</v>
      </c>
      <c r="K137" s="6">
        <v>2.98</v>
      </c>
      <c r="L137" s="6">
        <v>89.47</v>
      </c>
      <c r="M137" s="6">
        <v>100.78</v>
      </c>
      <c r="N137" s="6">
        <v>9.0500000000000007</v>
      </c>
      <c r="O137" s="6">
        <v>14.69</v>
      </c>
      <c r="P137" s="6">
        <v>1.88</v>
      </c>
      <c r="Q137" t="s">
        <v>64</v>
      </c>
      <c r="R137" t="s">
        <v>65</v>
      </c>
      <c r="S137" t="s">
        <v>65</v>
      </c>
      <c r="T137" t="s">
        <v>66</v>
      </c>
      <c r="U137" t="s">
        <v>67</v>
      </c>
    </row>
    <row r="138" spans="1:21">
      <c r="A138">
        <v>2011</v>
      </c>
      <c r="B138">
        <v>5</v>
      </c>
      <c r="C138" t="s">
        <v>74</v>
      </c>
      <c r="D138" t="s">
        <v>214</v>
      </c>
      <c r="E138" s="7">
        <v>0</v>
      </c>
      <c r="F138" s="7">
        <v>0</v>
      </c>
      <c r="G138" s="6">
        <v>29.21</v>
      </c>
      <c r="H138" s="6">
        <v>24.41</v>
      </c>
      <c r="I138" s="6">
        <v>36.729999999999997</v>
      </c>
      <c r="J138" s="6">
        <v>78.23</v>
      </c>
      <c r="K138" s="6">
        <v>9.7100000000000009</v>
      </c>
      <c r="L138" s="6">
        <v>301.07</v>
      </c>
      <c r="M138" s="6">
        <v>100.36</v>
      </c>
      <c r="N138" s="6">
        <v>9.4</v>
      </c>
      <c r="O138" s="6">
        <v>19.45</v>
      </c>
      <c r="P138" s="6">
        <v>2.5499999999999998</v>
      </c>
      <c r="Q138" t="s">
        <v>64</v>
      </c>
      <c r="R138" t="s">
        <v>65</v>
      </c>
      <c r="S138" t="s">
        <v>65</v>
      </c>
      <c r="T138" t="s">
        <v>66</v>
      </c>
      <c r="U138" t="s">
        <v>67</v>
      </c>
    </row>
    <row r="139" spans="1:21">
      <c r="A139">
        <v>2011</v>
      </c>
      <c r="B139">
        <v>6</v>
      </c>
      <c r="C139" t="s">
        <v>76</v>
      </c>
      <c r="D139" t="s">
        <v>215</v>
      </c>
      <c r="E139" s="7">
        <v>74</v>
      </c>
      <c r="F139" s="7">
        <v>0</v>
      </c>
      <c r="G139" s="6">
        <v>28.52</v>
      </c>
      <c r="H139" s="6">
        <v>24.79</v>
      </c>
      <c r="I139" s="6">
        <v>33.380000000000003</v>
      </c>
      <c r="J139" s="6">
        <v>87.11</v>
      </c>
      <c r="K139" s="6">
        <v>10.69</v>
      </c>
      <c r="L139" s="6">
        <v>320.67</v>
      </c>
      <c r="M139" s="6">
        <v>99.93</v>
      </c>
      <c r="N139" s="6">
        <v>13.19</v>
      </c>
      <c r="O139" s="6">
        <v>21.26</v>
      </c>
      <c r="P139" s="6">
        <v>2.71</v>
      </c>
      <c r="Q139" t="s">
        <v>64</v>
      </c>
      <c r="R139" t="s">
        <v>65</v>
      </c>
      <c r="S139" t="s">
        <v>65</v>
      </c>
      <c r="T139" t="s">
        <v>66</v>
      </c>
      <c r="U139" t="s">
        <v>67</v>
      </c>
    </row>
    <row r="140" spans="1:21">
      <c r="A140">
        <v>2011</v>
      </c>
      <c r="B140">
        <v>7</v>
      </c>
      <c r="C140" t="s">
        <v>78</v>
      </c>
      <c r="D140" t="s">
        <v>216</v>
      </c>
      <c r="E140" s="7">
        <v>296</v>
      </c>
      <c r="F140" s="7">
        <v>1</v>
      </c>
      <c r="G140" s="6">
        <v>28.28</v>
      </c>
      <c r="H140" s="6">
        <v>25.06</v>
      </c>
      <c r="I140" s="6">
        <v>33.68</v>
      </c>
      <c r="J140" s="6">
        <v>88.01</v>
      </c>
      <c r="K140" s="6">
        <v>7.52</v>
      </c>
      <c r="L140" s="6">
        <v>233.12</v>
      </c>
      <c r="M140" s="6">
        <v>100.09</v>
      </c>
      <c r="N140" s="6">
        <v>11.35</v>
      </c>
      <c r="O140" s="6">
        <v>21.18</v>
      </c>
      <c r="P140" s="6">
        <v>2.85</v>
      </c>
      <c r="Q140" t="s">
        <v>64</v>
      </c>
      <c r="R140" t="s">
        <v>65</v>
      </c>
      <c r="S140" t="s">
        <v>65</v>
      </c>
      <c r="T140" t="s">
        <v>66</v>
      </c>
      <c r="U140" t="s">
        <v>67</v>
      </c>
    </row>
    <row r="141" spans="1:21">
      <c r="A141">
        <v>2011</v>
      </c>
      <c r="B141">
        <v>8</v>
      </c>
      <c r="C141" t="s">
        <v>80</v>
      </c>
      <c r="D141" t="s">
        <v>217</v>
      </c>
      <c r="E141" s="7">
        <v>800</v>
      </c>
      <c r="F141" s="7">
        <v>0</v>
      </c>
      <c r="G141" s="6">
        <v>27.69</v>
      </c>
      <c r="H141" s="6">
        <v>24.49</v>
      </c>
      <c r="I141" s="6">
        <v>34.11</v>
      </c>
      <c r="J141" s="6">
        <v>90.69</v>
      </c>
      <c r="K141" s="6">
        <v>14.66</v>
      </c>
      <c r="L141" s="6">
        <v>454.53</v>
      </c>
      <c r="M141" s="6">
        <v>100.22</v>
      </c>
      <c r="N141" s="6">
        <v>9.85</v>
      </c>
      <c r="O141" s="6">
        <v>21.11</v>
      </c>
      <c r="P141" s="6">
        <v>2.5099999999999998</v>
      </c>
      <c r="Q141" t="s">
        <v>64</v>
      </c>
      <c r="R141" t="s">
        <v>65</v>
      </c>
      <c r="S141" t="s">
        <v>65</v>
      </c>
      <c r="T141" t="s">
        <v>66</v>
      </c>
      <c r="U141" t="s">
        <v>67</v>
      </c>
    </row>
    <row r="142" spans="1:21">
      <c r="A142">
        <v>2011</v>
      </c>
      <c r="B142">
        <v>9</v>
      </c>
      <c r="C142" t="s">
        <v>82</v>
      </c>
      <c r="D142" t="s">
        <v>218</v>
      </c>
      <c r="E142" s="7">
        <v>131</v>
      </c>
      <c r="F142" s="7">
        <v>1</v>
      </c>
      <c r="G142" s="6">
        <v>27.67</v>
      </c>
      <c r="H142" s="6">
        <v>24.16</v>
      </c>
      <c r="I142" s="6">
        <v>32.43</v>
      </c>
      <c r="J142" s="6">
        <v>90.12</v>
      </c>
      <c r="K142" s="6">
        <v>6.79</v>
      </c>
      <c r="L142" s="6">
        <v>203.6</v>
      </c>
      <c r="M142" s="6">
        <v>100.28</v>
      </c>
      <c r="N142" s="6">
        <v>10.039999999999999</v>
      </c>
      <c r="O142" s="6">
        <v>20.92</v>
      </c>
      <c r="P142" s="6">
        <v>2.64</v>
      </c>
      <c r="Q142" t="s">
        <v>64</v>
      </c>
      <c r="R142" t="s">
        <v>65</v>
      </c>
      <c r="S142" t="s">
        <v>65</v>
      </c>
      <c r="T142" t="s">
        <v>66</v>
      </c>
      <c r="U142" t="s">
        <v>67</v>
      </c>
    </row>
    <row r="143" spans="1:21">
      <c r="A143">
        <v>2011</v>
      </c>
      <c r="B143">
        <v>10</v>
      </c>
      <c r="C143" t="s">
        <v>84</v>
      </c>
      <c r="D143" t="s">
        <v>219</v>
      </c>
      <c r="E143" s="7">
        <v>58</v>
      </c>
      <c r="F143" s="7">
        <v>0</v>
      </c>
      <c r="G143" s="6">
        <v>26.75</v>
      </c>
      <c r="H143" s="6">
        <v>19.38</v>
      </c>
      <c r="I143" s="6">
        <v>32.11</v>
      </c>
      <c r="J143" s="6">
        <v>82.09</v>
      </c>
      <c r="K143" s="6">
        <v>1.5</v>
      </c>
      <c r="L143" s="6">
        <v>46.54</v>
      </c>
      <c r="M143" s="6">
        <v>100.83</v>
      </c>
      <c r="N143" s="6">
        <v>8.5399999999999991</v>
      </c>
      <c r="O143" s="6">
        <v>17.88</v>
      </c>
      <c r="P143" s="6">
        <v>1.45</v>
      </c>
      <c r="Q143" t="s">
        <v>64</v>
      </c>
      <c r="R143" t="s">
        <v>65</v>
      </c>
      <c r="S143" t="s">
        <v>65</v>
      </c>
      <c r="T143" t="s">
        <v>66</v>
      </c>
      <c r="U143" t="s">
        <v>67</v>
      </c>
    </row>
    <row r="144" spans="1:21">
      <c r="A144">
        <v>2011</v>
      </c>
      <c r="B144">
        <v>11</v>
      </c>
      <c r="C144" t="s">
        <v>86</v>
      </c>
      <c r="D144" t="s">
        <v>220</v>
      </c>
      <c r="E144" s="7">
        <v>0</v>
      </c>
      <c r="F144" s="7">
        <v>0</v>
      </c>
      <c r="G144" s="6">
        <v>23.15</v>
      </c>
      <c r="H144" s="6">
        <v>15.46</v>
      </c>
      <c r="I144" s="6">
        <v>30.24</v>
      </c>
      <c r="J144" s="6">
        <v>71.61</v>
      </c>
      <c r="K144" s="6">
        <v>0.01</v>
      </c>
      <c r="L144" s="6">
        <v>0.16</v>
      </c>
      <c r="M144" s="6">
        <v>101.19</v>
      </c>
      <c r="N144" s="6">
        <v>6.81</v>
      </c>
      <c r="O144" s="6">
        <v>12.27</v>
      </c>
      <c r="P144" s="6">
        <v>1.23</v>
      </c>
      <c r="Q144" t="s">
        <v>64</v>
      </c>
      <c r="R144" t="s">
        <v>65</v>
      </c>
      <c r="S144" t="s">
        <v>65</v>
      </c>
      <c r="T144" t="s">
        <v>66</v>
      </c>
      <c r="U144" t="s">
        <v>67</v>
      </c>
    </row>
    <row r="145" spans="1:21">
      <c r="A145">
        <v>2011</v>
      </c>
      <c r="B145">
        <v>12</v>
      </c>
      <c r="C145" t="s">
        <v>88</v>
      </c>
      <c r="D145" t="s">
        <v>221</v>
      </c>
      <c r="E145" s="7">
        <v>0</v>
      </c>
      <c r="F145" s="7">
        <v>0</v>
      </c>
      <c r="G145" s="6">
        <v>19.77</v>
      </c>
      <c r="H145" s="6">
        <v>9.41</v>
      </c>
      <c r="I145" s="6">
        <v>29.19</v>
      </c>
      <c r="J145" s="6">
        <v>68.209999999999994</v>
      </c>
      <c r="K145" s="6">
        <v>0.02</v>
      </c>
      <c r="L145" s="6">
        <v>0.56000000000000005</v>
      </c>
      <c r="M145" s="6">
        <v>101.33</v>
      </c>
      <c r="N145" s="6">
        <v>8.08</v>
      </c>
      <c r="O145" s="6">
        <v>9.43</v>
      </c>
      <c r="P145" s="6">
        <v>1.49</v>
      </c>
      <c r="Q145" t="s">
        <v>64</v>
      </c>
      <c r="R145" t="s">
        <v>65</v>
      </c>
      <c r="S145" t="s">
        <v>65</v>
      </c>
      <c r="T145" t="s">
        <v>66</v>
      </c>
      <c r="U145" t="s">
        <v>67</v>
      </c>
    </row>
    <row r="146" spans="1:21">
      <c r="A146">
        <v>2012</v>
      </c>
      <c r="B146">
        <v>1</v>
      </c>
      <c r="C146" t="s">
        <v>62</v>
      </c>
      <c r="D146" t="s">
        <v>222</v>
      </c>
      <c r="E146" s="7">
        <v>0</v>
      </c>
      <c r="F146" s="7">
        <v>0</v>
      </c>
      <c r="G146" s="6">
        <v>18.55</v>
      </c>
      <c r="H146" s="6">
        <v>8.5500000000000007</v>
      </c>
      <c r="I146" s="6">
        <v>28.42</v>
      </c>
      <c r="J146" s="6">
        <v>60.37</v>
      </c>
      <c r="K146" s="6">
        <v>0.44</v>
      </c>
      <c r="L146" s="6">
        <v>13.54</v>
      </c>
      <c r="M146" s="6">
        <v>101.36</v>
      </c>
      <c r="N146" s="6">
        <v>9.01</v>
      </c>
      <c r="O146" s="6">
        <v>7.76</v>
      </c>
      <c r="P146" s="6">
        <v>1.78</v>
      </c>
      <c r="Q146" t="s">
        <v>64</v>
      </c>
      <c r="R146" t="s">
        <v>65</v>
      </c>
      <c r="S146" t="s">
        <v>65</v>
      </c>
      <c r="T146" t="s">
        <v>66</v>
      </c>
      <c r="U146" t="s">
        <v>67</v>
      </c>
    </row>
    <row r="147" spans="1:21">
      <c r="A147">
        <v>2012</v>
      </c>
      <c r="B147">
        <v>2</v>
      </c>
      <c r="C147" t="s">
        <v>68</v>
      </c>
      <c r="D147" t="s">
        <v>223</v>
      </c>
      <c r="E147" s="7">
        <v>0</v>
      </c>
      <c r="F147" s="7">
        <v>0</v>
      </c>
      <c r="G147" s="6">
        <v>21.8</v>
      </c>
      <c r="H147" s="6">
        <v>10.210000000000001</v>
      </c>
      <c r="I147" s="6">
        <v>34.35</v>
      </c>
      <c r="J147" s="6">
        <v>45.94</v>
      </c>
      <c r="K147" s="6">
        <v>0.39</v>
      </c>
      <c r="L147" s="6">
        <v>11.24</v>
      </c>
      <c r="M147" s="6">
        <v>101.07</v>
      </c>
      <c r="N147" s="6">
        <v>8.9600000000000009</v>
      </c>
      <c r="O147" s="6">
        <v>7.06</v>
      </c>
      <c r="P147" s="6">
        <v>1.76</v>
      </c>
      <c r="Q147" t="s">
        <v>64</v>
      </c>
      <c r="R147" t="s">
        <v>65</v>
      </c>
      <c r="S147" t="s">
        <v>65</v>
      </c>
      <c r="T147" t="s">
        <v>66</v>
      </c>
      <c r="U147" t="s">
        <v>67</v>
      </c>
    </row>
    <row r="148" spans="1:21">
      <c r="A148">
        <v>2012</v>
      </c>
      <c r="B148">
        <v>3</v>
      </c>
      <c r="C148" t="s">
        <v>70</v>
      </c>
      <c r="D148" t="s">
        <v>224</v>
      </c>
      <c r="E148" s="7">
        <v>0</v>
      </c>
      <c r="F148" s="7">
        <v>0</v>
      </c>
      <c r="G148" s="6">
        <v>27.31</v>
      </c>
      <c r="H148" s="6">
        <v>16.39</v>
      </c>
      <c r="I148" s="6">
        <v>39.1</v>
      </c>
      <c r="J148" s="6">
        <v>48.81</v>
      </c>
      <c r="K148" s="6">
        <v>0.41</v>
      </c>
      <c r="L148" s="6">
        <v>12.67</v>
      </c>
      <c r="M148" s="6">
        <v>100.83</v>
      </c>
      <c r="N148" s="6">
        <v>9.06</v>
      </c>
      <c r="O148" s="6">
        <v>10.18</v>
      </c>
      <c r="P148" s="6">
        <v>1.89</v>
      </c>
      <c r="Q148" t="s">
        <v>64</v>
      </c>
      <c r="R148" t="s">
        <v>65</v>
      </c>
      <c r="S148" t="s">
        <v>65</v>
      </c>
      <c r="T148" t="s">
        <v>66</v>
      </c>
      <c r="U148" t="s">
        <v>67</v>
      </c>
    </row>
    <row r="149" spans="1:21">
      <c r="A149">
        <v>2012</v>
      </c>
      <c r="B149">
        <v>4</v>
      </c>
      <c r="C149" t="s">
        <v>72</v>
      </c>
      <c r="D149" t="s">
        <v>225</v>
      </c>
      <c r="E149" s="7">
        <v>0</v>
      </c>
      <c r="F149" s="7">
        <v>0</v>
      </c>
      <c r="G149" s="6">
        <v>29.33</v>
      </c>
      <c r="H149" s="6">
        <v>21.54</v>
      </c>
      <c r="I149" s="6">
        <v>38.28</v>
      </c>
      <c r="J149" s="6">
        <v>68.88</v>
      </c>
      <c r="K149" s="6">
        <v>7.13</v>
      </c>
      <c r="L149" s="6">
        <v>213.97</v>
      </c>
      <c r="M149" s="6">
        <v>100.6</v>
      </c>
      <c r="N149" s="6">
        <v>11.72</v>
      </c>
      <c r="O149" s="6">
        <v>16.75</v>
      </c>
      <c r="P149" s="6">
        <v>2.95</v>
      </c>
      <c r="Q149" t="s">
        <v>64</v>
      </c>
      <c r="R149" t="s">
        <v>65</v>
      </c>
      <c r="S149" t="s">
        <v>65</v>
      </c>
      <c r="T149" t="s">
        <v>66</v>
      </c>
      <c r="U149" t="s">
        <v>67</v>
      </c>
    </row>
    <row r="150" spans="1:21">
      <c r="A150">
        <v>2012</v>
      </c>
      <c r="B150">
        <v>5</v>
      </c>
      <c r="C150" t="s">
        <v>74</v>
      </c>
      <c r="D150" t="s">
        <v>226</v>
      </c>
      <c r="E150" s="7">
        <v>0</v>
      </c>
      <c r="F150" s="7">
        <v>0</v>
      </c>
      <c r="G150" s="6">
        <v>30.13</v>
      </c>
      <c r="H150" s="6">
        <v>23.98</v>
      </c>
      <c r="I150" s="6">
        <v>37.39</v>
      </c>
      <c r="J150" s="6">
        <v>73.48</v>
      </c>
      <c r="K150" s="6">
        <v>4.22</v>
      </c>
      <c r="L150" s="6">
        <v>130.94</v>
      </c>
      <c r="M150" s="6">
        <v>100.26</v>
      </c>
      <c r="N150" s="6">
        <v>9.1999999999999993</v>
      </c>
      <c r="O150" s="6">
        <v>19.25</v>
      </c>
      <c r="P150" s="6">
        <v>2.4</v>
      </c>
      <c r="Q150" t="s">
        <v>64</v>
      </c>
      <c r="R150" t="s">
        <v>65</v>
      </c>
      <c r="S150" t="s">
        <v>65</v>
      </c>
      <c r="T150" t="s">
        <v>66</v>
      </c>
      <c r="U150" t="s">
        <v>67</v>
      </c>
    </row>
    <row r="151" spans="1:21">
      <c r="A151">
        <v>2012</v>
      </c>
      <c r="B151">
        <v>6</v>
      </c>
      <c r="C151" t="s">
        <v>76</v>
      </c>
      <c r="D151" t="s">
        <v>227</v>
      </c>
      <c r="E151" s="7">
        <v>16</v>
      </c>
      <c r="F151" s="7">
        <v>0</v>
      </c>
      <c r="G151" s="6">
        <v>29.55</v>
      </c>
      <c r="H151" s="6">
        <v>25.97</v>
      </c>
      <c r="I151" s="6">
        <v>35.42</v>
      </c>
      <c r="J151" s="6">
        <v>83.24</v>
      </c>
      <c r="K151" s="6">
        <v>7.51</v>
      </c>
      <c r="L151" s="6">
        <v>225.36</v>
      </c>
      <c r="M151" s="6">
        <v>99.81</v>
      </c>
      <c r="N151" s="6">
        <v>11.76</v>
      </c>
      <c r="O151" s="6">
        <v>21.48</v>
      </c>
      <c r="P151" s="6">
        <v>3.66</v>
      </c>
      <c r="Q151" t="s">
        <v>64</v>
      </c>
      <c r="R151" t="s">
        <v>65</v>
      </c>
      <c r="S151" t="s">
        <v>65</v>
      </c>
      <c r="T151" t="s">
        <v>66</v>
      </c>
      <c r="U151" t="s">
        <v>67</v>
      </c>
    </row>
    <row r="152" spans="1:21">
      <c r="A152">
        <v>2012</v>
      </c>
      <c r="B152">
        <v>7</v>
      </c>
      <c r="C152" t="s">
        <v>78</v>
      </c>
      <c r="D152" t="s">
        <v>228</v>
      </c>
      <c r="E152" s="7">
        <v>108</v>
      </c>
      <c r="F152" s="7">
        <v>0</v>
      </c>
      <c r="G152" s="6">
        <v>28.59</v>
      </c>
      <c r="H152" s="6">
        <v>25.79</v>
      </c>
      <c r="I152" s="6">
        <v>33.270000000000003</v>
      </c>
      <c r="J152" s="6">
        <v>87.23</v>
      </c>
      <c r="K152" s="6">
        <v>9.56</v>
      </c>
      <c r="L152" s="6">
        <v>296.29000000000002</v>
      </c>
      <c r="M152" s="6">
        <v>99.9</v>
      </c>
      <c r="N152" s="6">
        <v>12.45</v>
      </c>
      <c r="O152" s="6">
        <v>21.38</v>
      </c>
      <c r="P152" s="6">
        <v>3.67</v>
      </c>
      <c r="Q152" t="s">
        <v>64</v>
      </c>
      <c r="R152" t="s">
        <v>65</v>
      </c>
      <c r="S152" t="s">
        <v>65</v>
      </c>
      <c r="T152" t="s">
        <v>66</v>
      </c>
      <c r="U152" t="s">
        <v>67</v>
      </c>
    </row>
    <row r="153" spans="1:21">
      <c r="A153">
        <v>2012</v>
      </c>
      <c r="B153">
        <v>8</v>
      </c>
      <c r="C153" t="s">
        <v>80</v>
      </c>
      <c r="D153" t="s">
        <v>229</v>
      </c>
      <c r="E153" s="7">
        <v>138</v>
      </c>
      <c r="F153" s="7">
        <v>0</v>
      </c>
      <c r="G153" s="6">
        <v>28.11</v>
      </c>
      <c r="H153" s="6">
        <v>25.67</v>
      </c>
      <c r="I153" s="6">
        <v>32.31</v>
      </c>
      <c r="J153" s="6">
        <v>89.32</v>
      </c>
      <c r="K153" s="6">
        <v>9.73</v>
      </c>
      <c r="L153" s="6">
        <v>301.7</v>
      </c>
      <c r="M153" s="6">
        <v>100.1</v>
      </c>
      <c r="N153" s="6">
        <v>9.3800000000000008</v>
      </c>
      <c r="O153" s="6">
        <v>21.31</v>
      </c>
      <c r="P153" s="6">
        <v>2.77</v>
      </c>
      <c r="Q153" t="s">
        <v>64</v>
      </c>
      <c r="R153" t="s">
        <v>65</v>
      </c>
      <c r="S153" t="s">
        <v>65</v>
      </c>
      <c r="T153" t="s">
        <v>66</v>
      </c>
      <c r="U153" t="s">
        <v>67</v>
      </c>
    </row>
    <row r="154" spans="1:21">
      <c r="A154">
        <v>2012</v>
      </c>
      <c r="B154">
        <v>9</v>
      </c>
      <c r="C154" t="s">
        <v>82</v>
      </c>
      <c r="D154" t="s">
        <v>230</v>
      </c>
      <c r="E154" s="7">
        <v>262</v>
      </c>
      <c r="F154" s="7">
        <v>0</v>
      </c>
      <c r="G154" s="6">
        <v>27.72</v>
      </c>
      <c r="H154" s="6">
        <v>24.56</v>
      </c>
      <c r="I154" s="6">
        <v>34.06</v>
      </c>
      <c r="J154" s="6">
        <v>89.7</v>
      </c>
      <c r="K154" s="6">
        <v>5.65</v>
      </c>
      <c r="L154" s="6">
        <v>169.58</v>
      </c>
      <c r="M154" s="6">
        <v>100.45</v>
      </c>
      <c r="N154" s="6">
        <v>13.27</v>
      </c>
      <c r="O154" s="6">
        <v>20.84</v>
      </c>
      <c r="P154" s="6">
        <v>2.35</v>
      </c>
      <c r="Q154" t="s">
        <v>64</v>
      </c>
      <c r="R154" t="s">
        <v>65</v>
      </c>
      <c r="S154" t="s">
        <v>65</v>
      </c>
      <c r="T154" t="s">
        <v>66</v>
      </c>
      <c r="U154" t="s">
        <v>67</v>
      </c>
    </row>
    <row r="155" spans="1:21">
      <c r="A155">
        <v>2012</v>
      </c>
      <c r="B155">
        <v>10</v>
      </c>
      <c r="C155" t="s">
        <v>84</v>
      </c>
      <c r="D155" t="s">
        <v>231</v>
      </c>
      <c r="E155" s="7">
        <v>90</v>
      </c>
      <c r="F155" s="7">
        <v>0</v>
      </c>
      <c r="G155" s="6">
        <v>25.4</v>
      </c>
      <c r="H155" s="6">
        <v>15.33</v>
      </c>
      <c r="I155" s="6">
        <v>31.4</v>
      </c>
      <c r="J155" s="6">
        <v>84.18</v>
      </c>
      <c r="K155" s="6">
        <v>2.0499999999999998</v>
      </c>
      <c r="L155" s="6">
        <v>63.61</v>
      </c>
      <c r="M155" s="6">
        <v>100.91</v>
      </c>
      <c r="N155" s="6">
        <v>9.85</v>
      </c>
      <c r="O155" s="6">
        <v>16.98</v>
      </c>
      <c r="P155" s="6">
        <v>1.8</v>
      </c>
      <c r="Q155" t="s">
        <v>64</v>
      </c>
      <c r="R155" t="s">
        <v>65</v>
      </c>
      <c r="S155" t="s">
        <v>65</v>
      </c>
      <c r="T155" t="s">
        <v>66</v>
      </c>
      <c r="U155" t="s">
        <v>67</v>
      </c>
    </row>
    <row r="156" spans="1:21">
      <c r="A156">
        <v>2012</v>
      </c>
      <c r="B156">
        <v>11</v>
      </c>
      <c r="C156" t="s">
        <v>86</v>
      </c>
      <c r="D156" t="s">
        <v>232</v>
      </c>
      <c r="E156" s="7">
        <v>57</v>
      </c>
      <c r="F156" s="7">
        <v>1</v>
      </c>
      <c r="G156" s="6">
        <v>21.55</v>
      </c>
      <c r="H156" s="6">
        <v>11.8</v>
      </c>
      <c r="I156" s="6">
        <v>30.75</v>
      </c>
      <c r="J156" s="6">
        <v>76.27</v>
      </c>
      <c r="K156" s="6">
        <v>2.2200000000000002</v>
      </c>
      <c r="L156" s="6">
        <v>66.739999999999995</v>
      </c>
      <c r="M156" s="6">
        <v>101.1</v>
      </c>
      <c r="N156" s="6">
        <v>7.7</v>
      </c>
      <c r="O156" s="6">
        <v>12.08</v>
      </c>
      <c r="P156" s="6">
        <v>1.63</v>
      </c>
      <c r="Q156" t="s">
        <v>64</v>
      </c>
      <c r="R156" t="s">
        <v>65</v>
      </c>
      <c r="S156" t="s">
        <v>65</v>
      </c>
      <c r="T156" t="s">
        <v>66</v>
      </c>
      <c r="U156" t="s">
        <v>67</v>
      </c>
    </row>
    <row r="157" spans="1:21">
      <c r="A157">
        <v>2012</v>
      </c>
      <c r="B157">
        <v>12</v>
      </c>
      <c r="C157" t="s">
        <v>88</v>
      </c>
      <c r="D157" t="s">
        <v>233</v>
      </c>
      <c r="E157" s="7">
        <v>0</v>
      </c>
      <c r="F157" s="7">
        <v>0</v>
      </c>
      <c r="G157" s="6">
        <v>17.2</v>
      </c>
      <c r="H157" s="6">
        <v>6.55</v>
      </c>
      <c r="I157" s="6">
        <v>27.03</v>
      </c>
      <c r="J157" s="6">
        <v>69.400000000000006</v>
      </c>
      <c r="K157" s="6">
        <v>0.08</v>
      </c>
      <c r="L157" s="6">
        <v>2.33</v>
      </c>
      <c r="M157" s="6">
        <v>101.27</v>
      </c>
      <c r="N157" s="6">
        <v>8.73</v>
      </c>
      <c r="O157" s="6">
        <v>8.2100000000000009</v>
      </c>
      <c r="P157" s="6">
        <v>1.59</v>
      </c>
      <c r="Q157" t="s">
        <v>64</v>
      </c>
      <c r="R157" t="s">
        <v>65</v>
      </c>
      <c r="S157" t="s">
        <v>65</v>
      </c>
      <c r="T157" t="s">
        <v>66</v>
      </c>
      <c r="U157" t="s">
        <v>67</v>
      </c>
    </row>
    <row r="158" spans="1:21">
      <c r="A158">
        <v>2013</v>
      </c>
      <c r="B158">
        <v>1</v>
      </c>
      <c r="C158" t="s">
        <v>62</v>
      </c>
      <c r="D158" t="s">
        <v>234</v>
      </c>
      <c r="E158" s="7">
        <v>0</v>
      </c>
      <c r="F158" s="7">
        <v>0</v>
      </c>
      <c r="G158" s="6">
        <v>16.59</v>
      </c>
      <c r="H158" s="6">
        <v>4.37</v>
      </c>
      <c r="I158" s="6">
        <v>28.01</v>
      </c>
      <c r="J158" s="6">
        <v>58.37</v>
      </c>
      <c r="K158" s="6">
        <v>0.01</v>
      </c>
      <c r="L158" s="6">
        <v>0.25</v>
      </c>
      <c r="M158" s="6">
        <v>101.44</v>
      </c>
      <c r="N158" s="6">
        <v>8.7200000000000006</v>
      </c>
      <c r="O158" s="6">
        <v>6.6</v>
      </c>
      <c r="P158" s="6">
        <v>1.87</v>
      </c>
      <c r="Q158" t="s">
        <v>64</v>
      </c>
      <c r="R158" t="s">
        <v>65</v>
      </c>
      <c r="S158" t="s">
        <v>65</v>
      </c>
      <c r="T158" t="s">
        <v>66</v>
      </c>
      <c r="U158" t="s">
        <v>67</v>
      </c>
    </row>
    <row r="159" spans="1:21">
      <c r="A159">
        <v>2013</v>
      </c>
      <c r="B159">
        <v>2</v>
      </c>
      <c r="C159" t="s">
        <v>68</v>
      </c>
      <c r="D159" t="s">
        <v>235</v>
      </c>
      <c r="E159" s="7">
        <v>0</v>
      </c>
      <c r="F159" s="7">
        <v>0</v>
      </c>
      <c r="G159" s="6">
        <v>21.59</v>
      </c>
      <c r="H159" s="6">
        <v>10.89</v>
      </c>
      <c r="I159" s="6">
        <v>33.71</v>
      </c>
      <c r="J159" s="6">
        <v>48.73</v>
      </c>
      <c r="K159" s="6">
        <v>0.23</v>
      </c>
      <c r="L159" s="6">
        <v>6.44</v>
      </c>
      <c r="M159" s="6">
        <v>101.21</v>
      </c>
      <c r="N159" s="6">
        <v>10.78</v>
      </c>
      <c r="O159" s="6">
        <v>7.3</v>
      </c>
      <c r="P159" s="6">
        <v>2.25</v>
      </c>
      <c r="Q159" t="s">
        <v>64</v>
      </c>
      <c r="R159" t="s">
        <v>65</v>
      </c>
      <c r="S159" t="s">
        <v>65</v>
      </c>
      <c r="T159" t="s">
        <v>66</v>
      </c>
      <c r="U159" t="s">
        <v>67</v>
      </c>
    </row>
    <row r="160" spans="1:21">
      <c r="A160">
        <v>2013</v>
      </c>
      <c r="B160">
        <v>3</v>
      </c>
      <c r="C160" t="s">
        <v>70</v>
      </c>
      <c r="D160" t="s">
        <v>236</v>
      </c>
      <c r="E160" s="7">
        <v>0</v>
      </c>
      <c r="F160" s="7">
        <v>0</v>
      </c>
      <c r="G160" s="6">
        <v>27.54</v>
      </c>
      <c r="H160" s="6">
        <v>13.93</v>
      </c>
      <c r="I160" s="6">
        <v>38.15</v>
      </c>
      <c r="J160" s="6">
        <v>49.31</v>
      </c>
      <c r="K160" s="6">
        <v>0.67</v>
      </c>
      <c r="L160" s="6">
        <v>20.82</v>
      </c>
      <c r="M160" s="6">
        <v>100.9</v>
      </c>
      <c r="N160" s="6">
        <v>8.73</v>
      </c>
      <c r="O160" s="6">
        <v>10.57</v>
      </c>
      <c r="P160" s="6">
        <v>1.93</v>
      </c>
      <c r="Q160" t="s">
        <v>64</v>
      </c>
      <c r="R160" t="s">
        <v>65</v>
      </c>
      <c r="S160" t="s">
        <v>65</v>
      </c>
      <c r="T160" t="s">
        <v>66</v>
      </c>
      <c r="U160" t="s">
        <v>67</v>
      </c>
    </row>
    <row r="161" spans="1:21">
      <c r="A161">
        <v>2013</v>
      </c>
      <c r="B161">
        <v>4</v>
      </c>
      <c r="C161" t="s">
        <v>72</v>
      </c>
      <c r="D161" t="s">
        <v>237</v>
      </c>
      <c r="E161" s="7">
        <v>0</v>
      </c>
      <c r="F161" s="7">
        <v>0</v>
      </c>
      <c r="G161" s="6">
        <v>30.4</v>
      </c>
      <c r="H161" s="6">
        <v>21.81</v>
      </c>
      <c r="I161" s="6">
        <v>39.89</v>
      </c>
      <c r="J161" s="6">
        <v>57.94</v>
      </c>
      <c r="K161" s="6">
        <v>2.27</v>
      </c>
      <c r="L161" s="6">
        <v>68.239999999999995</v>
      </c>
      <c r="M161" s="6">
        <v>100.56</v>
      </c>
      <c r="N161" s="6">
        <v>10.25</v>
      </c>
      <c r="O161" s="6">
        <v>14.72</v>
      </c>
      <c r="P161" s="6">
        <v>2.78</v>
      </c>
      <c r="Q161" t="s">
        <v>64</v>
      </c>
      <c r="R161" t="s">
        <v>65</v>
      </c>
      <c r="S161" t="s">
        <v>65</v>
      </c>
      <c r="T161" t="s">
        <v>66</v>
      </c>
      <c r="U161" t="s">
        <v>67</v>
      </c>
    </row>
    <row r="162" spans="1:21">
      <c r="A162">
        <v>2013</v>
      </c>
      <c r="B162">
        <v>5</v>
      </c>
      <c r="C162" t="s">
        <v>74</v>
      </c>
      <c r="D162" t="s">
        <v>238</v>
      </c>
      <c r="E162" s="7">
        <v>4</v>
      </c>
      <c r="F162" s="7">
        <v>0</v>
      </c>
      <c r="G162" s="6">
        <v>28.69</v>
      </c>
      <c r="H162" s="6">
        <v>24.11</v>
      </c>
      <c r="I162" s="6">
        <v>40.35</v>
      </c>
      <c r="J162" s="6">
        <v>83.41</v>
      </c>
      <c r="K162" s="6">
        <v>15.9</v>
      </c>
      <c r="L162" s="6">
        <v>493.01</v>
      </c>
      <c r="M162" s="6">
        <v>100.22</v>
      </c>
      <c r="N162" s="6">
        <v>14.05</v>
      </c>
      <c r="O162" s="6">
        <v>20.28</v>
      </c>
      <c r="P162" s="6">
        <v>3.93</v>
      </c>
      <c r="Q162" t="s">
        <v>64</v>
      </c>
      <c r="R162" t="s">
        <v>65</v>
      </c>
      <c r="S162" t="s">
        <v>65</v>
      </c>
      <c r="T162" t="s">
        <v>66</v>
      </c>
      <c r="U162" t="s">
        <v>67</v>
      </c>
    </row>
    <row r="163" spans="1:21">
      <c r="A163">
        <v>2013</v>
      </c>
      <c r="B163">
        <v>6</v>
      </c>
      <c r="C163" t="s">
        <v>76</v>
      </c>
      <c r="D163" t="s">
        <v>239</v>
      </c>
      <c r="E163" s="7">
        <v>44</v>
      </c>
      <c r="F163" s="7">
        <v>0</v>
      </c>
      <c r="G163" s="6">
        <v>28.63</v>
      </c>
      <c r="H163" s="6">
        <v>25.71</v>
      </c>
      <c r="I163" s="6">
        <v>33.39</v>
      </c>
      <c r="J163" s="6">
        <v>88.8</v>
      </c>
      <c r="K163" s="6">
        <v>10.91</v>
      </c>
      <c r="L163" s="6">
        <v>327.36</v>
      </c>
      <c r="M163" s="6">
        <v>99.97</v>
      </c>
      <c r="N163" s="6">
        <v>10.81</v>
      </c>
      <c r="O163" s="6">
        <v>21.86</v>
      </c>
      <c r="P163" s="6">
        <v>2.94</v>
      </c>
      <c r="Q163" t="s">
        <v>64</v>
      </c>
      <c r="R163" t="s">
        <v>65</v>
      </c>
      <c r="S163" t="s">
        <v>65</v>
      </c>
      <c r="T163" t="s">
        <v>66</v>
      </c>
      <c r="U163" t="s">
        <v>67</v>
      </c>
    </row>
    <row r="164" spans="1:21">
      <c r="A164">
        <v>2013</v>
      </c>
      <c r="B164">
        <v>7</v>
      </c>
      <c r="C164" t="s">
        <v>78</v>
      </c>
      <c r="D164" t="s">
        <v>240</v>
      </c>
      <c r="E164" s="7">
        <v>220</v>
      </c>
      <c r="F164" s="7">
        <v>0</v>
      </c>
      <c r="G164" s="6">
        <v>28.3</v>
      </c>
      <c r="H164" s="6">
        <v>25.4</v>
      </c>
      <c r="I164" s="6">
        <v>32.49</v>
      </c>
      <c r="J164" s="6">
        <v>89.31</v>
      </c>
      <c r="K164" s="6">
        <v>7.75</v>
      </c>
      <c r="L164" s="6">
        <v>240.33</v>
      </c>
      <c r="M164" s="6">
        <v>99.89</v>
      </c>
      <c r="N164" s="6">
        <v>15.28</v>
      </c>
      <c r="O164" s="6">
        <v>21.59</v>
      </c>
      <c r="P164" s="6">
        <v>3.51</v>
      </c>
      <c r="Q164" t="s">
        <v>64</v>
      </c>
      <c r="R164" t="s">
        <v>65</v>
      </c>
      <c r="S164" t="s">
        <v>65</v>
      </c>
      <c r="T164" t="s">
        <v>66</v>
      </c>
      <c r="U164" t="s">
        <v>67</v>
      </c>
    </row>
    <row r="165" spans="1:21">
      <c r="A165">
        <v>2013</v>
      </c>
      <c r="B165">
        <v>8</v>
      </c>
      <c r="C165" t="s">
        <v>80</v>
      </c>
      <c r="D165" t="s">
        <v>241</v>
      </c>
      <c r="E165" s="7">
        <v>353</v>
      </c>
      <c r="F165" s="7">
        <v>1</v>
      </c>
      <c r="G165" s="6">
        <v>27.87</v>
      </c>
      <c r="H165" s="6">
        <v>24.74</v>
      </c>
      <c r="I165" s="6">
        <v>32.380000000000003</v>
      </c>
      <c r="J165" s="6">
        <v>90.05</v>
      </c>
      <c r="K165" s="6">
        <v>8.09</v>
      </c>
      <c r="L165" s="6">
        <v>250.88</v>
      </c>
      <c r="M165" s="6">
        <v>100.14</v>
      </c>
      <c r="N165" s="6">
        <v>11.3</v>
      </c>
      <c r="O165" s="6">
        <v>21.19</v>
      </c>
      <c r="P165" s="6">
        <v>2.92</v>
      </c>
      <c r="Q165" t="s">
        <v>64</v>
      </c>
      <c r="R165" t="s">
        <v>65</v>
      </c>
      <c r="S165" t="s">
        <v>65</v>
      </c>
      <c r="T165" t="s">
        <v>66</v>
      </c>
      <c r="U165" t="s">
        <v>67</v>
      </c>
    </row>
    <row r="166" spans="1:21">
      <c r="A166">
        <v>2013</v>
      </c>
      <c r="B166">
        <v>9</v>
      </c>
      <c r="C166" t="s">
        <v>82</v>
      </c>
      <c r="D166" t="s">
        <v>242</v>
      </c>
      <c r="E166" s="7">
        <v>495</v>
      </c>
      <c r="F166" s="7">
        <v>1</v>
      </c>
      <c r="G166" s="6">
        <v>27.9</v>
      </c>
      <c r="H166" s="6">
        <v>24.79</v>
      </c>
      <c r="I166" s="6">
        <v>32.56</v>
      </c>
      <c r="J166" s="6">
        <v>88.42</v>
      </c>
      <c r="K166" s="6">
        <v>8.69</v>
      </c>
      <c r="L166" s="6">
        <v>260.73</v>
      </c>
      <c r="M166" s="6">
        <v>100.37</v>
      </c>
      <c r="N166" s="6">
        <v>10.59</v>
      </c>
      <c r="O166" s="6">
        <v>20.75</v>
      </c>
      <c r="P166" s="6">
        <v>2</v>
      </c>
      <c r="Q166" t="s">
        <v>64</v>
      </c>
      <c r="R166" t="s">
        <v>65</v>
      </c>
      <c r="S166" t="s">
        <v>65</v>
      </c>
      <c r="T166" t="s">
        <v>66</v>
      </c>
      <c r="U166" t="s">
        <v>67</v>
      </c>
    </row>
    <row r="167" spans="1:21">
      <c r="A167">
        <v>2013</v>
      </c>
      <c r="B167">
        <v>10</v>
      </c>
      <c r="C167" t="s">
        <v>84</v>
      </c>
      <c r="D167" t="s">
        <v>243</v>
      </c>
      <c r="E167" s="7">
        <v>363</v>
      </c>
      <c r="F167" s="7">
        <v>0</v>
      </c>
      <c r="G167" s="6">
        <v>26.37</v>
      </c>
      <c r="H167" s="6">
        <v>20.29</v>
      </c>
      <c r="I167" s="6">
        <v>31.8</v>
      </c>
      <c r="J167" s="6">
        <v>87.18</v>
      </c>
      <c r="K167" s="6">
        <v>5.15</v>
      </c>
      <c r="L167" s="6">
        <v>159.69</v>
      </c>
      <c r="M167" s="6">
        <v>100.88</v>
      </c>
      <c r="N167" s="6">
        <v>8.2100000000000009</v>
      </c>
      <c r="O167" s="6">
        <v>18.63</v>
      </c>
      <c r="P167" s="6">
        <v>1.6</v>
      </c>
      <c r="Q167" t="s">
        <v>64</v>
      </c>
      <c r="R167" t="s">
        <v>65</v>
      </c>
      <c r="S167" t="s">
        <v>65</v>
      </c>
      <c r="T167" t="s">
        <v>66</v>
      </c>
      <c r="U167" t="s">
        <v>67</v>
      </c>
    </row>
    <row r="168" spans="1:21">
      <c r="A168">
        <v>2013</v>
      </c>
      <c r="B168">
        <v>11</v>
      </c>
      <c r="C168" t="s">
        <v>86</v>
      </c>
      <c r="D168" t="s">
        <v>244</v>
      </c>
      <c r="E168" s="7">
        <v>212</v>
      </c>
      <c r="F168" s="7">
        <v>0</v>
      </c>
      <c r="G168" s="6">
        <v>22.33</v>
      </c>
      <c r="H168" s="6">
        <v>14.72</v>
      </c>
      <c r="I168" s="6">
        <v>29.15</v>
      </c>
      <c r="J168" s="6">
        <v>80.78</v>
      </c>
      <c r="K168" s="6">
        <v>0</v>
      </c>
      <c r="L168" s="6">
        <v>0</v>
      </c>
      <c r="M168" s="6">
        <v>101.18</v>
      </c>
      <c r="N168" s="6">
        <v>7.87</v>
      </c>
      <c r="O168" s="6">
        <v>13.37</v>
      </c>
      <c r="P168" s="6">
        <v>1.56</v>
      </c>
      <c r="Q168" t="s">
        <v>64</v>
      </c>
      <c r="R168" t="s">
        <v>65</v>
      </c>
      <c r="S168" t="s">
        <v>65</v>
      </c>
      <c r="T168" t="s">
        <v>66</v>
      </c>
      <c r="U168" t="s">
        <v>67</v>
      </c>
    </row>
    <row r="169" spans="1:21">
      <c r="A169">
        <v>2013</v>
      </c>
      <c r="B169">
        <v>12</v>
      </c>
      <c r="C169" t="s">
        <v>88</v>
      </c>
      <c r="D169" t="s">
        <v>245</v>
      </c>
      <c r="E169" s="7">
        <v>58</v>
      </c>
      <c r="F169" s="7">
        <v>0</v>
      </c>
      <c r="G169" s="6">
        <v>19.46</v>
      </c>
      <c r="H169" s="6">
        <v>10.39</v>
      </c>
      <c r="I169" s="6">
        <v>28.45</v>
      </c>
      <c r="J169" s="6">
        <v>74.48</v>
      </c>
      <c r="K169" s="6">
        <v>0.05</v>
      </c>
      <c r="L169" s="6">
        <v>1.46</v>
      </c>
      <c r="M169" s="6">
        <v>101.32</v>
      </c>
      <c r="N169" s="6">
        <v>8.23</v>
      </c>
      <c r="O169" s="6">
        <v>10.27</v>
      </c>
      <c r="P169" s="6">
        <v>1.4</v>
      </c>
      <c r="Q169" t="s">
        <v>64</v>
      </c>
      <c r="R169" t="s">
        <v>65</v>
      </c>
      <c r="S169" t="s">
        <v>65</v>
      </c>
      <c r="T169" t="s">
        <v>66</v>
      </c>
      <c r="U169" t="s">
        <v>67</v>
      </c>
    </row>
    <row r="170" spans="1:21">
      <c r="A170">
        <v>2014</v>
      </c>
      <c r="B170">
        <v>1</v>
      </c>
      <c r="C170" t="s">
        <v>62</v>
      </c>
      <c r="D170" t="s">
        <v>246</v>
      </c>
      <c r="E170" s="7">
        <v>15</v>
      </c>
      <c r="F170" s="7">
        <v>0</v>
      </c>
      <c r="G170" s="6">
        <v>17.96</v>
      </c>
      <c r="H170" s="6">
        <v>8.24</v>
      </c>
      <c r="I170" s="6">
        <v>28.41</v>
      </c>
      <c r="J170" s="6">
        <v>68.09</v>
      </c>
      <c r="K170" s="6">
        <v>0</v>
      </c>
      <c r="L170" s="6">
        <v>0.02</v>
      </c>
      <c r="M170" s="6">
        <v>101.55</v>
      </c>
      <c r="N170" s="6">
        <v>7.87</v>
      </c>
      <c r="O170" s="6">
        <v>8.3000000000000007</v>
      </c>
      <c r="P170" s="6">
        <v>1.78</v>
      </c>
      <c r="Q170" t="s">
        <v>64</v>
      </c>
      <c r="R170" t="s">
        <v>65</v>
      </c>
      <c r="S170" t="s">
        <v>65</v>
      </c>
      <c r="T170" t="s">
        <v>66</v>
      </c>
      <c r="U170" t="s">
        <v>67</v>
      </c>
    </row>
    <row r="171" spans="1:21">
      <c r="A171">
        <v>2014</v>
      </c>
      <c r="B171">
        <v>2</v>
      </c>
      <c r="C171" t="s">
        <v>68</v>
      </c>
      <c r="D171" t="s">
        <v>247</v>
      </c>
      <c r="E171" s="7">
        <v>7</v>
      </c>
      <c r="F171" s="7">
        <v>0</v>
      </c>
      <c r="G171" s="6">
        <v>21.31</v>
      </c>
      <c r="H171" s="6">
        <v>10.54</v>
      </c>
      <c r="I171" s="6">
        <v>31.73</v>
      </c>
      <c r="J171" s="6">
        <v>54.42</v>
      </c>
      <c r="K171" s="6">
        <v>0.41</v>
      </c>
      <c r="L171" s="6">
        <v>11.45</v>
      </c>
      <c r="M171" s="6">
        <v>101.18</v>
      </c>
      <c r="N171" s="6">
        <v>8.14</v>
      </c>
      <c r="O171" s="6">
        <v>8.1199999999999992</v>
      </c>
      <c r="P171" s="6">
        <v>1.62</v>
      </c>
      <c r="Q171" t="s">
        <v>64</v>
      </c>
      <c r="R171" t="s">
        <v>65</v>
      </c>
      <c r="S171" t="s">
        <v>65</v>
      </c>
      <c r="T171" t="s">
        <v>66</v>
      </c>
      <c r="U171" t="s">
        <v>67</v>
      </c>
    </row>
    <row r="172" spans="1:21">
      <c r="A172">
        <v>2014</v>
      </c>
      <c r="B172">
        <v>3</v>
      </c>
      <c r="C172" t="s">
        <v>70</v>
      </c>
      <c r="D172" t="s">
        <v>248</v>
      </c>
      <c r="E172" s="7">
        <v>2</v>
      </c>
      <c r="F172" s="7">
        <v>0</v>
      </c>
      <c r="G172" s="6">
        <v>26.79</v>
      </c>
      <c r="H172" s="6">
        <v>16.329999999999998</v>
      </c>
      <c r="I172" s="6">
        <v>40.53</v>
      </c>
      <c r="J172" s="6">
        <v>49.33</v>
      </c>
      <c r="K172" s="6">
        <v>0.53</v>
      </c>
      <c r="L172" s="6">
        <v>16.34</v>
      </c>
      <c r="M172" s="6">
        <v>101.04</v>
      </c>
      <c r="N172" s="6">
        <v>9.58</v>
      </c>
      <c r="O172" s="6">
        <v>10.15</v>
      </c>
      <c r="P172" s="6">
        <v>1.93</v>
      </c>
      <c r="Q172" t="s">
        <v>64</v>
      </c>
      <c r="R172" t="s">
        <v>65</v>
      </c>
      <c r="S172" t="s">
        <v>65</v>
      </c>
      <c r="T172" t="s">
        <v>66</v>
      </c>
      <c r="U172" t="s">
        <v>67</v>
      </c>
    </row>
    <row r="173" spans="1:21">
      <c r="A173">
        <v>2014</v>
      </c>
      <c r="B173">
        <v>4</v>
      </c>
      <c r="C173" t="s">
        <v>72</v>
      </c>
      <c r="D173" t="s">
        <v>249</v>
      </c>
      <c r="E173" s="7">
        <v>0</v>
      </c>
      <c r="F173" s="7">
        <v>0</v>
      </c>
      <c r="G173" s="6">
        <v>31.9</v>
      </c>
      <c r="H173" s="6">
        <v>22.87</v>
      </c>
      <c r="I173" s="6">
        <v>41.97</v>
      </c>
      <c r="J173" s="6">
        <v>51.22</v>
      </c>
      <c r="K173" s="6">
        <v>1.64</v>
      </c>
      <c r="L173" s="6">
        <v>49.08</v>
      </c>
      <c r="M173" s="6">
        <v>100.66</v>
      </c>
      <c r="N173" s="6">
        <v>11.06</v>
      </c>
      <c r="O173" s="6">
        <v>13.88</v>
      </c>
      <c r="P173" s="6">
        <v>2.31</v>
      </c>
      <c r="Q173" t="s">
        <v>64</v>
      </c>
      <c r="R173" t="s">
        <v>65</v>
      </c>
      <c r="S173" t="s">
        <v>65</v>
      </c>
      <c r="T173" t="s">
        <v>66</v>
      </c>
      <c r="U173" t="s">
        <v>67</v>
      </c>
    </row>
    <row r="174" spans="1:21">
      <c r="A174">
        <v>2014</v>
      </c>
      <c r="B174">
        <v>5</v>
      </c>
      <c r="C174" t="s">
        <v>74</v>
      </c>
      <c r="D174" t="s">
        <v>250</v>
      </c>
      <c r="E174" s="7">
        <v>8</v>
      </c>
      <c r="F174" s="7">
        <v>0</v>
      </c>
      <c r="G174" s="6">
        <v>31.19</v>
      </c>
      <c r="H174" s="6">
        <v>25.77</v>
      </c>
      <c r="I174" s="6">
        <v>41.25</v>
      </c>
      <c r="J174" s="6">
        <v>67.709999999999994</v>
      </c>
      <c r="K174" s="6">
        <v>7.85</v>
      </c>
      <c r="L174" s="6">
        <v>243.49</v>
      </c>
      <c r="M174" s="6">
        <v>100.42</v>
      </c>
      <c r="N174" s="6">
        <v>11.3</v>
      </c>
      <c r="O174" s="6">
        <v>18.41</v>
      </c>
      <c r="P174" s="6">
        <v>3.17</v>
      </c>
      <c r="Q174" t="s">
        <v>64</v>
      </c>
      <c r="R174" t="s">
        <v>65</v>
      </c>
      <c r="S174" t="s">
        <v>65</v>
      </c>
      <c r="T174" t="s">
        <v>66</v>
      </c>
      <c r="U174" t="s">
        <v>67</v>
      </c>
    </row>
    <row r="175" spans="1:21">
      <c r="A175">
        <v>2014</v>
      </c>
      <c r="B175">
        <v>6</v>
      </c>
      <c r="C175" t="s">
        <v>76</v>
      </c>
      <c r="D175" t="s">
        <v>251</v>
      </c>
      <c r="E175" s="7">
        <v>9</v>
      </c>
      <c r="F175" s="7">
        <v>0</v>
      </c>
      <c r="G175" s="6">
        <v>29.39</v>
      </c>
      <c r="H175" s="6">
        <v>26.42</v>
      </c>
      <c r="I175" s="6">
        <v>34.67</v>
      </c>
      <c r="J175" s="6">
        <v>86.5</v>
      </c>
      <c r="K175" s="6">
        <v>14.63</v>
      </c>
      <c r="L175" s="6">
        <v>438.95</v>
      </c>
      <c r="M175" s="6">
        <v>99.89</v>
      </c>
      <c r="N175" s="6">
        <v>10.17</v>
      </c>
      <c r="O175" s="6">
        <v>22.2</v>
      </c>
      <c r="P175" s="6">
        <v>3.13</v>
      </c>
      <c r="Q175" t="s">
        <v>64</v>
      </c>
      <c r="R175" t="s">
        <v>65</v>
      </c>
      <c r="S175" t="s">
        <v>65</v>
      </c>
      <c r="T175" t="s">
        <v>66</v>
      </c>
      <c r="U175" t="s">
        <v>67</v>
      </c>
    </row>
    <row r="176" spans="1:21">
      <c r="A176">
        <v>2014</v>
      </c>
      <c r="B176">
        <v>7</v>
      </c>
      <c r="C176" t="s">
        <v>78</v>
      </c>
      <c r="D176" t="s">
        <v>252</v>
      </c>
      <c r="E176" s="7">
        <v>82</v>
      </c>
      <c r="F176" s="7">
        <v>0</v>
      </c>
      <c r="G176" s="6">
        <v>28.59</v>
      </c>
      <c r="H176" s="6">
        <v>25.65</v>
      </c>
      <c r="I176" s="6">
        <v>32.69</v>
      </c>
      <c r="J176" s="6">
        <v>89.39</v>
      </c>
      <c r="K176" s="6">
        <v>7.81</v>
      </c>
      <c r="L176" s="6">
        <v>242.25</v>
      </c>
      <c r="M176" s="6">
        <v>99.93</v>
      </c>
      <c r="N176" s="6">
        <v>14.54</v>
      </c>
      <c r="O176" s="6">
        <v>21.98</v>
      </c>
      <c r="P176" s="6">
        <v>3.23</v>
      </c>
      <c r="Q176" t="s">
        <v>64</v>
      </c>
      <c r="R176" t="s">
        <v>65</v>
      </c>
      <c r="S176" t="s">
        <v>65</v>
      </c>
      <c r="T176" t="s">
        <v>66</v>
      </c>
      <c r="U176" t="s">
        <v>67</v>
      </c>
    </row>
    <row r="177" spans="1:21">
      <c r="A177">
        <v>2014</v>
      </c>
      <c r="B177">
        <v>8</v>
      </c>
      <c r="C177" t="s">
        <v>80</v>
      </c>
      <c r="D177" t="s">
        <v>253</v>
      </c>
      <c r="E177" s="7">
        <v>80</v>
      </c>
      <c r="F177" s="7">
        <v>0</v>
      </c>
      <c r="G177" s="6">
        <v>28.14</v>
      </c>
      <c r="H177" s="6">
        <v>25.01</v>
      </c>
      <c r="I177" s="6">
        <v>32.56</v>
      </c>
      <c r="J177" s="6">
        <v>89.55</v>
      </c>
      <c r="K177" s="6">
        <v>11.51</v>
      </c>
      <c r="L177" s="6">
        <v>356.75</v>
      </c>
      <c r="M177" s="6">
        <v>100.19</v>
      </c>
      <c r="N177" s="6">
        <v>11.88</v>
      </c>
      <c r="O177" s="6">
        <v>21.4</v>
      </c>
      <c r="P177" s="6">
        <v>3.04</v>
      </c>
      <c r="Q177" t="s">
        <v>64</v>
      </c>
      <c r="R177" t="s">
        <v>65</v>
      </c>
      <c r="S177" t="s">
        <v>65</v>
      </c>
      <c r="T177" t="s">
        <v>66</v>
      </c>
      <c r="U177" t="s">
        <v>67</v>
      </c>
    </row>
    <row r="178" spans="1:21">
      <c r="A178">
        <v>2014</v>
      </c>
      <c r="B178">
        <v>9</v>
      </c>
      <c r="C178" t="s">
        <v>82</v>
      </c>
      <c r="D178" t="s">
        <v>254</v>
      </c>
      <c r="E178" s="7">
        <v>76</v>
      </c>
      <c r="F178" s="7">
        <v>0</v>
      </c>
      <c r="G178" s="6">
        <v>27.85</v>
      </c>
      <c r="H178" s="6">
        <v>23.56</v>
      </c>
      <c r="I178" s="6">
        <v>32.54</v>
      </c>
      <c r="J178" s="6">
        <v>88.24</v>
      </c>
      <c r="K178" s="6">
        <v>8.5</v>
      </c>
      <c r="L178" s="6">
        <v>254.94</v>
      </c>
      <c r="M178" s="6">
        <v>100.47</v>
      </c>
      <c r="N178" s="6">
        <v>10.57</v>
      </c>
      <c r="O178" s="6">
        <v>20.62</v>
      </c>
      <c r="P178" s="6">
        <v>2.31</v>
      </c>
      <c r="Q178" t="s">
        <v>64</v>
      </c>
      <c r="R178" t="s">
        <v>65</v>
      </c>
      <c r="S178" t="s">
        <v>65</v>
      </c>
      <c r="T178" t="s">
        <v>66</v>
      </c>
      <c r="U178" t="s">
        <v>67</v>
      </c>
    </row>
    <row r="179" spans="1:21">
      <c r="A179">
        <v>2014</v>
      </c>
      <c r="B179">
        <v>10</v>
      </c>
      <c r="C179" t="s">
        <v>84</v>
      </c>
      <c r="D179" t="s">
        <v>255</v>
      </c>
      <c r="E179" s="7">
        <v>63</v>
      </c>
      <c r="F179" s="7">
        <v>0</v>
      </c>
      <c r="G179" s="6">
        <v>26.52</v>
      </c>
      <c r="H179" s="6">
        <v>19.09</v>
      </c>
      <c r="I179" s="6">
        <v>33.01</v>
      </c>
      <c r="J179" s="6">
        <v>79.83</v>
      </c>
      <c r="K179" s="6">
        <v>2.2400000000000002</v>
      </c>
      <c r="L179" s="6">
        <v>69.400000000000006</v>
      </c>
      <c r="M179" s="6">
        <v>101.01</v>
      </c>
      <c r="N179" s="6">
        <v>5.6</v>
      </c>
      <c r="O179" s="6">
        <v>17.18</v>
      </c>
      <c r="P179" s="6">
        <v>1.1200000000000001</v>
      </c>
      <c r="Q179" t="s">
        <v>64</v>
      </c>
      <c r="R179" t="s">
        <v>65</v>
      </c>
      <c r="S179" t="s">
        <v>65</v>
      </c>
      <c r="T179" t="s">
        <v>66</v>
      </c>
      <c r="U179" t="s">
        <v>67</v>
      </c>
    </row>
    <row r="180" spans="1:21">
      <c r="A180">
        <v>2014</v>
      </c>
      <c r="B180">
        <v>11</v>
      </c>
      <c r="C180" t="s">
        <v>86</v>
      </c>
      <c r="D180" t="s">
        <v>256</v>
      </c>
      <c r="E180" s="7">
        <v>22</v>
      </c>
      <c r="F180" s="7">
        <v>0</v>
      </c>
      <c r="G180" s="6">
        <v>23.08</v>
      </c>
      <c r="H180" s="6">
        <v>14.31</v>
      </c>
      <c r="I180" s="6">
        <v>31.55</v>
      </c>
      <c r="J180" s="6">
        <v>71.87</v>
      </c>
      <c r="K180" s="6">
        <v>0.01</v>
      </c>
      <c r="L180" s="6">
        <v>0.17</v>
      </c>
      <c r="M180" s="6">
        <v>101.13</v>
      </c>
      <c r="N180" s="6">
        <v>5.73</v>
      </c>
      <c r="O180" s="6">
        <v>12.51</v>
      </c>
      <c r="P180" s="6">
        <v>1.1599999999999999</v>
      </c>
      <c r="Q180" t="s">
        <v>64</v>
      </c>
      <c r="R180" t="s">
        <v>65</v>
      </c>
      <c r="S180" t="s">
        <v>65</v>
      </c>
      <c r="T180" t="s">
        <v>66</v>
      </c>
      <c r="U180" t="s">
        <v>67</v>
      </c>
    </row>
    <row r="181" spans="1:21">
      <c r="A181">
        <v>2014</v>
      </c>
      <c r="B181">
        <v>12</v>
      </c>
      <c r="C181" t="s">
        <v>88</v>
      </c>
      <c r="D181" t="s">
        <v>257</v>
      </c>
      <c r="E181" s="7">
        <v>11</v>
      </c>
      <c r="F181" s="7">
        <v>0</v>
      </c>
      <c r="G181" s="6">
        <v>19.079999999999998</v>
      </c>
      <c r="H181" s="6">
        <v>9.61</v>
      </c>
      <c r="I181" s="6">
        <v>28.15</v>
      </c>
      <c r="J181" s="6">
        <v>69.42</v>
      </c>
      <c r="K181" s="6">
        <v>0.13</v>
      </c>
      <c r="L181" s="6">
        <v>4.03</v>
      </c>
      <c r="M181" s="6">
        <v>101.39</v>
      </c>
      <c r="N181" s="6">
        <v>8.24</v>
      </c>
      <c r="O181" s="6">
        <v>9.24</v>
      </c>
      <c r="P181" s="6">
        <v>1.3</v>
      </c>
      <c r="Q181" t="s">
        <v>64</v>
      </c>
      <c r="R181" t="s">
        <v>65</v>
      </c>
      <c r="S181" t="s">
        <v>65</v>
      </c>
      <c r="T181" t="s">
        <v>66</v>
      </c>
      <c r="U181" t="s">
        <v>67</v>
      </c>
    </row>
    <row r="182" spans="1:21">
      <c r="A182">
        <v>2015</v>
      </c>
      <c r="B182">
        <v>1</v>
      </c>
      <c r="C182" t="s">
        <v>62</v>
      </c>
      <c r="D182" t="s">
        <v>258</v>
      </c>
      <c r="E182" s="7">
        <v>0</v>
      </c>
      <c r="F182" s="7">
        <v>0</v>
      </c>
      <c r="G182" s="6">
        <v>19.3</v>
      </c>
      <c r="H182" s="6">
        <v>9.64</v>
      </c>
      <c r="I182" s="6">
        <v>29.24</v>
      </c>
      <c r="J182" s="6">
        <v>60.39</v>
      </c>
      <c r="K182" s="6">
        <v>0.11</v>
      </c>
      <c r="L182" s="6">
        <v>3.31</v>
      </c>
      <c r="M182" s="6">
        <v>101.48</v>
      </c>
      <c r="N182" s="6">
        <v>8.1</v>
      </c>
      <c r="O182" s="6">
        <v>8.14</v>
      </c>
      <c r="P182" s="6">
        <v>1.42</v>
      </c>
      <c r="Q182" t="s">
        <v>64</v>
      </c>
      <c r="R182" t="s">
        <v>65</v>
      </c>
      <c r="S182" t="s">
        <v>65</v>
      </c>
      <c r="T182" t="s">
        <v>66</v>
      </c>
      <c r="U182" t="s">
        <v>67</v>
      </c>
    </row>
    <row r="183" spans="1:21">
      <c r="A183">
        <v>2015</v>
      </c>
      <c r="B183">
        <v>2</v>
      </c>
      <c r="C183" t="s">
        <v>68</v>
      </c>
      <c r="D183" t="s">
        <v>259</v>
      </c>
      <c r="E183" s="7">
        <v>0</v>
      </c>
      <c r="F183" s="7">
        <v>0</v>
      </c>
      <c r="G183" s="6">
        <v>22.56</v>
      </c>
      <c r="H183" s="6">
        <v>10.41</v>
      </c>
      <c r="I183" s="6">
        <v>33.35</v>
      </c>
      <c r="J183" s="6">
        <v>54.82</v>
      </c>
      <c r="K183" s="6">
        <v>0.83</v>
      </c>
      <c r="L183" s="6">
        <v>23.11</v>
      </c>
      <c r="M183" s="6">
        <v>101.31</v>
      </c>
      <c r="N183" s="6">
        <v>9</v>
      </c>
      <c r="O183" s="6">
        <v>9.02</v>
      </c>
      <c r="P183" s="6">
        <v>1.5</v>
      </c>
      <c r="Q183" t="s">
        <v>64</v>
      </c>
      <c r="R183" t="s">
        <v>65</v>
      </c>
      <c r="S183" t="s">
        <v>65</v>
      </c>
      <c r="T183" t="s">
        <v>66</v>
      </c>
      <c r="U183" t="s">
        <v>67</v>
      </c>
    </row>
    <row r="184" spans="1:21">
      <c r="A184">
        <v>2015</v>
      </c>
      <c r="B184">
        <v>3</v>
      </c>
      <c r="C184" t="s">
        <v>70</v>
      </c>
      <c r="D184" t="s">
        <v>260</v>
      </c>
      <c r="E184" s="7">
        <v>2</v>
      </c>
      <c r="F184" s="7">
        <v>0</v>
      </c>
      <c r="G184" s="6">
        <v>26.87</v>
      </c>
      <c r="H184" s="6">
        <v>14.32</v>
      </c>
      <c r="I184" s="6">
        <v>36.97</v>
      </c>
      <c r="J184" s="6">
        <v>46.72</v>
      </c>
      <c r="K184" s="6">
        <v>0.73</v>
      </c>
      <c r="L184" s="6">
        <v>22.52</v>
      </c>
      <c r="M184" s="6">
        <v>101.13</v>
      </c>
      <c r="N184" s="6">
        <v>8.6999999999999993</v>
      </c>
      <c r="O184" s="6">
        <v>9.75</v>
      </c>
      <c r="P184" s="6">
        <v>1.93</v>
      </c>
      <c r="Q184" t="s">
        <v>64</v>
      </c>
      <c r="R184" t="s">
        <v>65</v>
      </c>
      <c r="S184" t="s">
        <v>65</v>
      </c>
      <c r="T184" t="s">
        <v>66</v>
      </c>
      <c r="U184" t="s">
        <v>67</v>
      </c>
    </row>
    <row r="185" spans="1:21">
      <c r="A185">
        <v>2015</v>
      </c>
      <c r="B185">
        <v>4</v>
      </c>
      <c r="C185" t="s">
        <v>72</v>
      </c>
      <c r="D185" t="s">
        <v>261</v>
      </c>
      <c r="E185" s="7">
        <v>6</v>
      </c>
      <c r="F185" s="7">
        <v>0</v>
      </c>
      <c r="G185" s="6">
        <v>28.21</v>
      </c>
      <c r="H185" s="6">
        <v>22.79</v>
      </c>
      <c r="I185" s="6">
        <v>36.43</v>
      </c>
      <c r="J185" s="6">
        <v>71.91</v>
      </c>
      <c r="K185" s="6">
        <v>7.09</v>
      </c>
      <c r="L185" s="6">
        <v>212.7</v>
      </c>
      <c r="M185" s="6">
        <v>100.81</v>
      </c>
      <c r="N185" s="6">
        <v>10.17</v>
      </c>
      <c r="O185" s="6">
        <v>16.61</v>
      </c>
      <c r="P185" s="6">
        <v>2.44</v>
      </c>
      <c r="Q185" t="s">
        <v>64</v>
      </c>
      <c r="R185" t="s">
        <v>65</v>
      </c>
      <c r="S185" t="s">
        <v>65</v>
      </c>
      <c r="T185" t="s">
        <v>66</v>
      </c>
      <c r="U185" t="s">
        <v>67</v>
      </c>
    </row>
    <row r="186" spans="1:21">
      <c r="A186">
        <v>2015</v>
      </c>
      <c r="B186">
        <v>5</v>
      </c>
      <c r="C186" t="s">
        <v>74</v>
      </c>
      <c r="D186" t="s">
        <v>262</v>
      </c>
      <c r="E186" s="7">
        <v>10</v>
      </c>
      <c r="F186" s="7">
        <v>0</v>
      </c>
      <c r="G186" s="6">
        <v>29.53</v>
      </c>
      <c r="H186" s="6">
        <v>24.09</v>
      </c>
      <c r="I186" s="6">
        <v>37.770000000000003</v>
      </c>
      <c r="J186" s="6">
        <v>77.36</v>
      </c>
      <c r="K186" s="6">
        <v>5.17</v>
      </c>
      <c r="L186" s="6">
        <v>160.32</v>
      </c>
      <c r="M186" s="6">
        <v>100.44</v>
      </c>
      <c r="N186" s="6">
        <v>9.7200000000000006</v>
      </c>
      <c r="O186" s="6">
        <v>19.59</v>
      </c>
      <c r="P186" s="6">
        <v>2.6</v>
      </c>
      <c r="Q186" t="s">
        <v>64</v>
      </c>
      <c r="R186" t="s">
        <v>65</v>
      </c>
      <c r="S186" t="s">
        <v>65</v>
      </c>
      <c r="T186" t="s">
        <v>66</v>
      </c>
      <c r="U186" t="s">
        <v>67</v>
      </c>
    </row>
    <row r="187" spans="1:21">
      <c r="A187">
        <v>2015</v>
      </c>
      <c r="B187">
        <v>6</v>
      </c>
      <c r="C187" t="s">
        <v>76</v>
      </c>
      <c r="D187" t="s">
        <v>263</v>
      </c>
      <c r="E187" s="7">
        <v>28</v>
      </c>
      <c r="F187" s="7">
        <v>1</v>
      </c>
      <c r="G187" s="6">
        <v>28.96</v>
      </c>
      <c r="H187" s="6">
        <v>24.82</v>
      </c>
      <c r="I187" s="6">
        <v>35.5</v>
      </c>
      <c r="J187" s="6">
        <v>85.06</v>
      </c>
      <c r="K187" s="6">
        <v>14.65</v>
      </c>
      <c r="L187" s="6">
        <v>439.61</v>
      </c>
      <c r="M187" s="6">
        <v>100.13</v>
      </c>
      <c r="N187" s="6">
        <v>10.26</v>
      </c>
      <c r="O187" s="6">
        <v>21.18</v>
      </c>
      <c r="P187" s="6">
        <v>3.15</v>
      </c>
      <c r="Q187" t="s">
        <v>64</v>
      </c>
      <c r="R187" t="s">
        <v>65</v>
      </c>
      <c r="S187" t="s">
        <v>65</v>
      </c>
      <c r="T187" t="s">
        <v>66</v>
      </c>
      <c r="U187" t="s">
        <v>67</v>
      </c>
    </row>
    <row r="188" spans="1:21">
      <c r="A188">
        <v>2015</v>
      </c>
      <c r="B188">
        <v>7</v>
      </c>
      <c r="C188" t="s">
        <v>78</v>
      </c>
      <c r="D188" t="s">
        <v>264</v>
      </c>
      <c r="E188" s="7">
        <v>171</v>
      </c>
      <c r="F188" s="7">
        <v>2</v>
      </c>
      <c r="G188" s="6">
        <v>28.04</v>
      </c>
      <c r="H188" s="6">
        <v>24.95</v>
      </c>
      <c r="I188" s="6">
        <v>32.700000000000003</v>
      </c>
      <c r="J188" s="6">
        <v>91.06</v>
      </c>
      <c r="K188" s="6">
        <v>23.14</v>
      </c>
      <c r="L188" s="6">
        <v>717.49</v>
      </c>
      <c r="M188" s="6">
        <v>99.91</v>
      </c>
      <c r="N188" s="6">
        <v>15.68</v>
      </c>
      <c r="O188" s="6">
        <v>21.72</v>
      </c>
      <c r="P188" s="6">
        <v>3.11</v>
      </c>
      <c r="Q188" t="s">
        <v>64</v>
      </c>
      <c r="R188" t="s">
        <v>65</v>
      </c>
      <c r="S188" t="s">
        <v>65</v>
      </c>
      <c r="T188" t="s">
        <v>66</v>
      </c>
      <c r="U188" t="s">
        <v>67</v>
      </c>
    </row>
    <row r="189" spans="1:21">
      <c r="A189">
        <v>2015</v>
      </c>
      <c r="B189">
        <v>8</v>
      </c>
      <c r="C189" t="s">
        <v>80</v>
      </c>
      <c r="D189" t="s">
        <v>265</v>
      </c>
      <c r="E189" s="7">
        <v>765</v>
      </c>
      <c r="F189" s="7">
        <v>1</v>
      </c>
      <c r="G189" s="6">
        <v>28.09</v>
      </c>
      <c r="H189" s="6">
        <v>24.99</v>
      </c>
      <c r="I189" s="6">
        <v>31.65</v>
      </c>
      <c r="J189" s="6">
        <v>90.5</v>
      </c>
      <c r="K189" s="6">
        <v>10.53</v>
      </c>
      <c r="L189" s="6">
        <v>326.54000000000002</v>
      </c>
      <c r="M189" s="6">
        <v>100.26</v>
      </c>
      <c r="N189" s="6">
        <v>12.17</v>
      </c>
      <c r="O189" s="6">
        <v>21.57</v>
      </c>
      <c r="P189" s="6">
        <v>2.74</v>
      </c>
      <c r="Q189" t="s">
        <v>64</v>
      </c>
      <c r="R189" t="s">
        <v>65</v>
      </c>
      <c r="S189" t="s">
        <v>65</v>
      </c>
      <c r="T189" t="s">
        <v>66</v>
      </c>
      <c r="U189" t="s">
        <v>67</v>
      </c>
    </row>
    <row r="190" spans="1:21">
      <c r="A190">
        <v>2015</v>
      </c>
      <c r="B190">
        <v>9</v>
      </c>
      <c r="C190" t="s">
        <v>82</v>
      </c>
      <c r="D190" t="s">
        <v>266</v>
      </c>
      <c r="E190" s="7">
        <v>965</v>
      </c>
      <c r="F190" s="7">
        <v>0</v>
      </c>
      <c r="G190" s="6">
        <v>28.23</v>
      </c>
      <c r="H190" s="6">
        <v>24.38</v>
      </c>
      <c r="I190" s="6">
        <v>33.54</v>
      </c>
      <c r="J190" s="6">
        <v>86.62</v>
      </c>
      <c r="K190" s="6">
        <v>8.2200000000000006</v>
      </c>
      <c r="L190" s="6">
        <v>246.46</v>
      </c>
      <c r="M190" s="6">
        <v>100.5</v>
      </c>
      <c r="N190" s="6">
        <v>10.83</v>
      </c>
      <c r="O190" s="6">
        <v>20.69</v>
      </c>
      <c r="P190" s="6">
        <v>1.76</v>
      </c>
      <c r="Q190" t="s">
        <v>64</v>
      </c>
      <c r="R190" t="s">
        <v>65</v>
      </c>
      <c r="S190" t="s">
        <v>65</v>
      </c>
      <c r="T190" t="s">
        <v>66</v>
      </c>
      <c r="U190" t="s">
        <v>67</v>
      </c>
    </row>
    <row r="191" spans="1:21">
      <c r="A191">
        <v>2015</v>
      </c>
      <c r="B191">
        <v>10</v>
      </c>
      <c r="C191" t="s">
        <v>84</v>
      </c>
      <c r="D191" t="s">
        <v>267</v>
      </c>
      <c r="E191" s="7">
        <v>869</v>
      </c>
      <c r="F191" s="7">
        <v>0</v>
      </c>
      <c r="G191" s="6">
        <v>26.76</v>
      </c>
      <c r="H191" s="6">
        <v>20.18</v>
      </c>
      <c r="I191" s="6">
        <v>32.119999999999997</v>
      </c>
      <c r="J191" s="6">
        <v>81.45</v>
      </c>
      <c r="K191" s="6">
        <v>3.08</v>
      </c>
      <c r="L191" s="6">
        <v>95.52</v>
      </c>
      <c r="M191" s="6">
        <v>101.01</v>
      </c>
      <c r="N191" s="6">
        <v>9.0399999999999991</v>
      </c>
      <c r="O191" s="6">
        <v>17.78</v>
      </c>
      <c r="P191" s="6">
        <v>1.21</v>
      </c>
      <c r="Q191" t="s">
        <v>64</v>
      </c>
      <c r="R191" t="s">
        <v>65</v>
      </c>
      <c r="S191" t="s">
        <v>65</v>
      </c>
      <c r="T191" t="s">
        <v>66</v>
      </c>
      <c r="U191" t="s">
        <v>67</v>
      </c>
    </row>
    <row r="192" spans="1:21">
      <c r="A192">
        <v>2015</v>
      </c>
      <c r="B192">
        <v>11</v>
      </c>
      <c r="C192" t="s">
        <v>86</v>
      </c>
      <c r="D192" t="s">
        <v>268</v>
      </c>
      <c r="E192" s="7">
        <v>271</v>
      </c>
      <c r="F192" s="7">
        <v>2</v>
      </c>
      <c r="G192" s="6">
        <v>23.8</v>
      </c>
      <c r="H192" s="6">
        <v>17.13</v>
      </c>
      <c r="I192" s="6">
        <v>29.94</v>
      </c>
      <c r="J192" s="6">
        <v>73.89</v>
      </c>
      <c r="K192" s="6">
        <v>0.05</v>
      </c>
      <c r="L192" s="6">
        <v>1.64</v>
      </c>
      <c r="M192" s="6">
        <v>101.25</v>
      </c>
      <c r="N192" s="6">
        <v>5.0199999999999996</v>
      </c>
      <c r="O192" s="6">
        <v>13.33</v>
      </c>
      <c r="P192" s="6">
        <v>1.01</v>
      </c>
      <c r="Q192" t="s">
        <v>64</v>
      </c>
      <c r="R192" t="s">
        <v>65</v>
      </c>
      <c r="S192" t="s">
        <v>65</v>
      </c>
      <c r="T192" t="s">
        <v>66</v>
      </c>
      <c r="U192" t="s">
        <v>67</v>
      </c>
    </row>
    <row r="193" spans="1:21">
      <c r="A193">
        <v>2015</v>
      </c>
      <c r="B193">
        <v>12</v>
      </c>
      <c r="C193" t="s">
        <v>88</v>
      </c>
      <c r="D193" t="s">
        <v>269</v>
      </c>
      <c r="E193" s="7">
        <v>75</v>
      </c>
      <c r="F193" s="7">
        <v>0</v>
      </c>
      <c r="G193" s="6">
        <v>19.899999999999999</v>
      </c>
      <c r="H193" s="6">
        <v>9.35</v>
      </c>
      <c r="I193" s="6">
        <v>28.21</v>
      </c>
      <c r="J193" s="6">
        <v>66.319999999999993</v>
      </c>
      <c r="K193" s="6">
        <v>0.04</v>
      </c>
      <c r="L193" s="6">
        <v>1.19</v>
      </c>
      <c r="M193" s="6">
        <v>101.5</v>
      </c>
      <c r="N193" s="6">
        <v>7.29</v>
      </c>
      <c r="O193" s="6">
        <v>9.51</v>
      </c>
      <c r="P193" s="6">
        <v>1.2</v>
      </c>
      <c r="Q193" t="s">
        <v>64</v>
      </c>
      <c r="R193" t="s">
        <v>65</v>
      </c>
      <c r="S193" t="s">
        <v>65</v>
      </c>
      <c r="T193" t="s">
        <v>66</v>
      </c>
      <c r="U193" t="s">
        <v>67</v>
      </c>
    </row>
    <row r="194" spans="1:21">
      <c r="A194">
        <v>2016</v>
      </c>
      <c r="B194">
        <v>1</v>
      </c>
      <c r="C194" t="s">
        <v>62</v>
      </c>
      <c r="D194" t="s">
        <v>270</v>
      </c>
      <c r="E194" s="7">
        <v>13</v>
      </c>
      <c r="F194" s="7">
        <v>0</v>
      </c>
      <c r="G194" s="6">
        <v>19.100000000000001</v>
      </c>
      <c r="H194" s="6">
        <v>9.65</v>
      </c>
      <c r="I194" s="6">
        <v>27.91</v>
      </c>
      <c r="J194" s="6">
        <v>58.27</v>
      </c>
      <c r="K194" s="6">
        <v>0.24</v>
      </c>
      <c r="L194" s="6">
        <v>7.35</v>
      </c>
      <c r="M194" s="6">
        <v>101.49</v>
      </c>
      <c r="N194" s="6">
        <v>6.67</v>
      </c>
      <c r="O194" s="6">
        <v>7.72</v>
      </c>
      <c r="P194" s="6">
        <v>1.29</v>
      </c>
      <c r="Q194" t="s">
        <v>64</v>
      </c>
      <c r="R194" t="s">
        <v>65</v>
      </c>
      <c r="S194" t="s">
        <v>65</v>
      </c>
      <c r="T194" t="s">
        <v>66</v>
      </c>
      <c r="U194" t="s">
        <v>67</v>
      </c>
    </row>
    <row r="195" spans="1:21">
      <c r="A195">
        <v>2016</v>
      </c>
      <c r="B195">
        <v>2</v>
      </c>
      <c r="C195" t="s">
        <v>68</v>
      </c>
      <c r="D195" t="s">
        <v>271</v>
      </c>
      <c r="E195" s="7">
        <v>3</v>
      </c>
      <c r="F195" s="7">
        <v>0</v>
      </c>
      <c r="G195" s="6">
        <v>24.38</v>
      </c>
      <c r="H195" s="6">
        <v>12.73</v>
      </c>
      <c r="I195" s="6">
        <v>35.44</v>
      </c>
      <c r="J195" s="6">
        <v>57.12</v>
      </c>
      <c r="K195" s="6">
        <v>1.54</v>
      </c>
      <c r="L195" s="6">
        <v>44.64</v>
      </c>
      <c r="M195" s="6">
        <v>101.33</v>
      </c>
      <c r="N195" s="6">
        <v>8.6300000000000008</v>
      </c>
      <c r="O195" s="6">
        <v>10.32</v>
      </c>
      <c r="P195" s="6">
        <v>1.5</v>
      </c>
      <c r="Q195" t="s">
        <v>64</v>
      </c>
      <c r="R195" t="s">
        <v>65</v>
      </c>
      <c r="S195" t="s">
        <v>65</v>
      </c>
      <c r="T195" t="s">
        <v>66</v>
      </c>
      <c r="U195" t="s">
        <v>67</v>
      </c>
    </row>
    <row r="196" spans="1:21">
      <c r="A196">
        <v>2016</v>
      </c>
      <c r="B196">
        <v>3</v>
      </c>
      <c r="C196" t="s">
        <v>70</v>
      </c>
      <c r="D196" t="s">
        <v>272</v>
      </c>
      <c r="E196" s="7">
        <v>17</v>
      </c>
      <c r="F196" s="7">
        <v>0</v>
      </c>
      <c r="G196" s="6">
        <v>28.1</v>
      </c>
      <c r="H196" s="6">
        <v>18.670000000000002</v>
      </c>
      <c r="I196" s="6">
        <v>37.06</v>
      </c>
      <c r="J196" s="6">
        <v>55.81</v>
      </c>
      <c r="K196" s="6">
        <v>2.2599999999999998</v>
      </c>
      <c r="L196" s="6">
        <v>70.13</v>
      </c>
      <c r="M196" s="6">
        <v>101</v>
      </c>
      <c r="N196" s="6">
        <v>9.42</v>
      </c>
      <c r="O196" s="6">
        <v>12.37</v>
      </c>
      <c r="P196" s="6">
        <v>1.91</v>
      </c>
      <c r="Q196" t="s">
        <v>64</v>
      </c>
      <c r="R196" t="s">
        <v>65</v>
      </c>
      <c r="S196" t="s">
        <v>65</v>
      </c>
      <c r="T196" t="s">
        <v>66</v>
      </c>
      <c r="U196" t="s">
        <v>67</v>
      </c>
    </row>
    <row r="197" spans="1:21">
      <c r="A197">
        <v>2016</v>
      </c>
      <c r="B197">
        <v>4</v>
      </c>
      <c r="C197" t="s">
        <v>72</v>
      </c>
      <c r="D197" t="s">
        <v>273</v>
      </c>
      <c r="E197" s="7">
        <v>38</v>
      </c>
      <c r="F197" s="7">
        <v>0</v>
      </c>
      <c r="G197" s="6">
        <v>30.48</v>
      </c>
      <c r="H197" s="6">
        <v>21.25</v>
      </c>
      <c r="I197" s="6">
        <v>40.07</v>
      </c>
      <c r="J197" s="6">
        <v>69.19</v>
      </c>
      <c r="K197" s="6">
        <v>2.4700000000000002</v>
      </c>
      <c r="L197" s="6">
        <v>74.16</v>
      </c>
      <c r="M197" s="6">
        <v>100.48</v>
      </c>
      <c r="N197" s="6">
        <v>12.96</v>
      </c>
      <c r="O197" s="6">
        <v>17.88</v>
      </c>
      <c r="P197" s="6">
        <v>3.73</v>
      </c>
      <c r="Q197" t="s">
        <v>64</v>
      </c>
      <c r="R197" t="s">
        <v>65</v>
      </c>
      <c r="S197" t="s">
        <v>65</v>
      </c>
      <c r="T197" t="s">
        <v>66</v>
      </c>
      <c r="U197" t="s">
        <v>67</v>
      </c>
    </row>
    <row r="198" spans="1:21">
      <c r="A198">
        <v>2016</v>
      </c>
      <c r="B198">
        <v>5</v>
      </c>
      <c r="C198" t="s">
        <v>74</v>
      </c>
      <c r="D198" t="s">
        <v>274</v>
      </c>
      <c r="E198" s="7">
        <v>70</v>
      </c>
      <c r="F198" s="7">
        <v>1</v>
      </c>
      <c r="G198" s="6">
        <v>29.47</v>
      </c>
      <c r="H198" s="6">
        <v>24.52</v>
      </c>
      <c r="I198" s="6">
        <v>39.03</v>
      </c>
      <c r="J198" s="6">
        <v>77.7</v>
      </c>
      <c r="K198" s="6">
        <v>17.489999999999998</v>
      </c>
      <c r="L198" s="6">
        <v>542.16</v>
      </c>
      <c r="M198" s="6">
        <v>100.36</v>
      </c>
      <c r="N198" s="6">
        <v>10.87</v>
      </c>
      <c r="O198" s="6">
        <v>19.59</v>
      </c>
      <c r="P198" s="6">
        <v>2.3199999999999998</v>
      </c>
      <c r="Q198" t="s">
        <v>64</v>
      </c>
      <c r="R198" t="s">
        <v>65</v>
      </c>
      <c r="S198" t="s">
        <v>65</v>
      </c>
      <c r="T198" t="s">
        <v>66</v>
      </c>
      <c r="U198" t="s">
        <v>67</v>
      </c>
    </row>
    <row r="199" spans="1:21">
      <c r="A199">
        <v>2016</v>
      </c>
      <c r="B199">
        <v>6</v>
      </c>
      <c r="C199" t="s">
        <v>76</v>
      </c>
      <c r="D199" t="s">
        <v>275</v>
      </c>
      <c r="E199" s="7">
        <v>254</v>
      </c>
      <c r="F199" s="7">
        <v>2</v>
      </c>
      <c r="G199" s="6">
        <v>28.72</v>
      </c>
      <c r="H199" s="6">
        <v>25</v>
      </c>
      <c r="I199" s="6">
        <v>33.36</v>
      </c>
      <c r="J199" s="6">
        <v>88.4</v>
      </c>
      <c r="K199" s="6">
        <v>6.48</v>
      </c>
      <c r="L199" s="6">
        <v>194.28</v>
      </c>
      <c r="M199" s="6">
        <v>100.22</v>
      </c>
      <c r="N199" s="6">
        <v>9.5500000000000007</v>
      </c>
      <c r="O199" s="6">
        <v>21.8</v>
      </c>
      <c r="P199" s="6">
        <v>2.5499999999999998</v>
      </c>
      <c r="Q199" t="s">
        <v>64</v>
      </c>
      <c r="R199" t="s">
        <v>65</v>
      </c>
      <c r="S199" t="s">
        <v>65</v>
      </c>
      <c r="T199" t="s">
        <v>66</v>
      </c>
      <c r="U199" t="s">
        <v>67</v>
      </c>
    </row>
    <row r="200" spans="1:21">
      <c r="A200">
        <v>2016</v>
      </c>
      <c r="B200">
        <v>7</v>
      </c>
      <c r="C200" t="s">
        <v>78</v>
      </c>
      <c r="D200" t="s">
        <v>276</v>
      </c>
      <c r="E200" s="7">
        <v>926</v>
      </c>
      <c r="F200" s="7">
        <v>2</v>
      </c>
      <c r="G200" s="6">
        <v>28.17</v>
      </c>
      <c r="H200" s="6">
        <v>24.32</v>
      </c>
      <c r="I200" s="6">
        <v>32</v>
      </c>
      <c r="J200" s="6">
        <v>90.32</v>
      </c>
      <c r="K200" s="6">
        <v>22.25</v>
      </c>
      <c r="L200" s="6">
        <v>689.67</v>
      </c>
      <c r="M200" s="6">
        <v>100.14</v>
      </c>
      <c r="N200" s="6">
        <v>12.39</v>
      </c>
      <c r="O200" s="6">
        <v>21.65</v>
      </c>
      <c r="P200" s="6">
        <v>3.08</v>
      </c>
      <c r="Q200" t="s">
        <v>64</v>
      </c>
      <c r="R200" t="s">
        <v>65</v>
      </c>
      <c r="S200" t="s">
        <v>65</v>
      </c>
      <c r="T200" t="s">
        <v>66</v>
      </c>
      <c r="U200" t="s">
        <v>67</v>
      </c>
    </row>
    <row r="201" spans="1:21">
      <c r="A201">
        <v>2016</v>
      </c>
      <c r="B201">
        <v>8</v>
      </c>
      <c r="C201" t="s">
        <v>80</v>
      </c>
      <c r="D201" t="s">
        <v>277</v>
      </c>
      <c r="E201" s="7">
        <v>1451</v>
      </c>
      <c r="F201" s="7">
        <v>1</v>
      </c>
      <c r="G201" s="6">
        <v>28.25</v>
      </c>
      <c r="H201" s="6">
        <v>24.26</v>
      </c>
      <c r="I201" s="6">
        <v>33.19</v>
      </c>
      <c r="J201" s="6">
        <v>89.69</v>
      </c>
      <c r="K201" s="6">
        <v>17.91</v>
      </c>
      <c r="L201" s="6">
        <v>555.25</v>
      </c>
      <c r="M201" s="6">
        <v>100.05</v>
      </c>
      <c r="N201" s="6">
        <v>17.420000000000002</v>
      </c>
      <c r="O201" s="6">
        <v>21.6</v>
      </c>
      <c r="P201" s="6">
        <v>2.7</v>
      </c>
      <c r="Q201" t="s">
        <v>64</v>
      </c>
      <c r="R201" t="s">
        <v>65</v>
      </c>
      <c r="S201" t="s">
        <v>65</v>
      </c>
      <c r="T201" t="s">
        <v>66</v>
      </c>
      <c r="U201" t="s">
        <v>67</v>
      </c>
    </row>
    <row r="202" spans="1:21">
      <c r="A202">
        <v>2016</v>
      </c>
      <c r="B202">
        <v>9</v>
      </c>
      <c r="C202" t="s">
        <v>82</v>
      </c>
      <c r="D202" t="s">
        <v>278</v>
      </c>
      <c r="E202" s="7">
        <v>1544</v>
      </c>
      <c r="F202" s="7">
        <v>3</v>
      </c>
      <c r="G202" s="6">
        <v>28.04</v>
      </c>
      <c r="H202" s="6">
        <v>25.06</v>
      </c>
      <c r="I202" s="6">
        <v>31.99</v>
      </c>
      <c r="J202" s="6">
        <v>88.75</v>
      </c>
      <c r="K202" s="6">
        <v>10.82</v>
      </c>
      <c r="L202" s="6">
        <v>324.66000000000003</v>
      </c>
      <c r="M202" s="6">
        <v>100.4</v>
      </c>
      <c r="N202" s="6">
        <v>10.5</v>
      </c>
      <c r="O202" s="6">
        <v>21.02</v>
      </c>
      <c r="P202" s="6">
        <v>1.78</v>
      </c>
      <c r="Q202" t="s">
        <v>64</v>
      </c>
      <c r="R202" t="s">
        <v>65</v>
      </c>
      <c r="S202" t="s">
        <v>65</v>
      </c>
      <c r="T202" t="s">
        <v>66</v>
      </c>
      <c r="U202" t="s">
        <v>67</v>
      </c>
    </row>
    <row r="203" spans="1:21">
      <c r="A203">
        <v>2016</v>
      </c>
      <c r="B203">
        <v>10</v>
      </c>
      <c r="C203" t="s">
        <v>84</v>
      </c>
      <c r="D203" t="s">
        <v>279</v>
      </c>
      <c r="E203" s="7">
        <v>1077</v>
      </c>
      <c r="F203" s="7">
        <v>1</v>
      </c>
      <c r="G203" s="6">
        <v>26.97</v>
      </c>
      <c r="H203" s="6">
        <v>20.38</v>
      </c>
      <c r="I203" s="6">
        <v>31.89</v>
      </c>
      <c r="J203" s="6">
        <v>85.57</v>
      </c>
      <c r="K203" s="6">
        <v>7.31</v>
      </c>
      <c r="L203" s="6">
        <v>226.76</v>
      </c>
      <c r="M203" s="6">
        <v>100.67</v>
      </c>
      <c r="N203" s="6">
        <v>8.06</v>
      </c>
      <c r="O203" s="6">
        <v>18.96</v>
      </c>
      <c r="P203" s="6">
        <v>1.41</v>
      </c>
      <c r="Q203" t="s">
        <v>64</v>
      </c>
      <c r="R203" t="s">
        <v>65</v>
      </c>
      <c r="S203" t="s">
        <v>65</v>
      </c>
      <c r="T203" t="s">
        <v>66</v>
      </c>
      <c r="U203" t="s">
        <v>67</v>
      </c>
    </row>
    <row r="204" spans="1:21">
      <c r="A204">
        <v>2016</v>
      </c>
      <c r="B204">
        <v>11</v>
      </c>
      <c r="C204" t="s">
        <v>86</v>
      </c>
      <c r="D204" t="s">
        <v>280</v>
      </c>
      <c r="E204" s="7">
        <v>522</v>
      </c>
      <c r="F204" s="7">
        <v>2</v>
      </c>
      <c r="G204" s="6">
        <v>22.93</v>
      </c>
      <c r="H204" s="6">
        <v>15.25</v>
      </c>
      <c r="I204" s="6">
        <v>31.06</v>
      </c>
      <c r="J204" s="6">
        <v>81.290000000000006</v>
      </c>
      <c r="K204" s="6">
        <v>6.11</v>
      </c>
      <c r="L204" s="6">
        <v>183.2</v>
      </c>
      <c r="M204" s="6">
        <v>101.13</v>
      </c>
      <c r="N204" s="6">
        <v>9.66</v>
      </c>
      <c r="O204" s="6">
        <v>14.09</v>
      </c>
      <c r="P204" s="6">
        <v>1.34</v>
      </c>
      <c r="Q204" t="s">
        <v>64</v>
      </c>
      <c r="R204" t="s">
        <v>65</v>
      </c>
      <c r="S204" t="s">
        <v>65</v>
      </c>
      <c r="T204" t="s">
        <v>66</v>
      </c>
      <c r="U204" t="s">
        <v>67</v>
      </c>
    </row>
    <row r="205" spans="1:21">
      <c r="A205">
        <v>2016</v>
      </c>
      <c r="B205">
        <v>12</v>
      </c>
      <c r="C205" t="s">
        <v>88</v>
      </c>
      <c r="D205" t="s">
        <v>281</v>
      </c>
      <c r="E205" s="7">
        <v>145</v>
      </c>
      <c r="F205" s="7">
        <v>2</v>
      </c>
      <c r="G205" s="6">
        <v>19.75</v>
      </c>
      <c r="H205" s="6">
        <v>11.65</v>
      </c>
      <c r="I205" s="6">
        <v>27.4</v>
      </c>
      <c r="J205" s="6">
        <v>80.75</v>
      </c>
      <c r="K205" s="6">
        <v>0.01</v>
      </c>
      <c r="L205" s="6">
        <v>0.35</v>
      </c>
      <c r="M205" s="6">
        <v>101.31</v>
      </c>
      <c r="N205" s="6">
        <v>7.42</v>
      </c>
      <c r="O205" s="6">
        <v>11.43</v>
      </c>
      <c r="P205" s="6">
        <v>1.34</v>
      </c>
      <c r="Q205" t="s">
        <v>64</v>
      </c>
      <c r="R205" t="s">
        <v>65</v>
      </c>
      <c r="S205" t="s">
        <v>65</v>
      </c>
      <c r="T205" t="s">
        <v>66</v>
      </c>
      <c r="U205" t="s">
        <v>67</v>
      </c>
    </row>
    <row r="206" spans="1:21">
      <c r="A206">
        <v>2017</v>
      </c>
      <c r="B206">
        <v>1</v>
      </c>
      <c r="C206" t="s">
        <v>62</v>
      </c>
      <c r="D206" t="s">
        <v>282</v>
      </c>
      <c r="E206" s="7">
        <v>92</v>
      </c>
      <c r="F206" s="7">
        <v>0</v>
      </c>
      <c r="G206" s="6">
        <v>18.03</v>
      </c>
      <c r="H206" s="6">
        <v>7.28</v>
      </c>
      <c r="I206" s="6">
        <v>27.77</v>
      </c>
      <c r="J206" s="6">
        <v>68.86</v>
      </c>
      <c r="K206" s="6">
        <v>0.17</v>
      </c>
      <c r="L206" s="6">
        <v>5.23</v>
      </c>
      <c r="M206" s="6">
        <v>101.42</v>
      </c>
      <c r="N206" s="6">
        <v>8.0500000000000007</v>
      </c>
      <c r="O206" s="6">
        <v>8.6199999999999992</v>
      </c>
      <c r="P206" s="6">
        <v>1.61</v>
      </c>
      <c r="Q206" t="s">
        <v>64</v>
      </c>
      <c r="R206" t="s">
        <v>65</v>
      </c>
      <c r="S206" t="s">
        <v>65</v>
      </c>
      <c r="T206" t="s">
        <v>66</v>
      </c>
      <c r="U206" t="s">
        <v>67</v>
      </c>
    </row>
    <row r="207" spans="1:21">
      <c r="A207">
        <v>2017</v>
      </c>
      <c r="B207">
        <v>2</v>
      </c>
      <c r="C207" t="s">
        <v>68</v>
      </c>
      <c r="D207" t="s">
        <v>283</v>
      </c>
      <c r="E207" s="7">
        <v>58</v>
      </c>
      <c r="F207" s="7">
        <v>0</v>
      </c>
      <c r="G207" s="6">
        <v>22.41</v>
      </c>
      <c r="H207" s="6">
        <v>12.08</v>
      </c>
      <c r="I207" s="6">
        <v>32.32</v>
      </c>
      <c r="J207" s="6">
        <v>55.34</v>
      </c>
      <c r="K207" s="6">
        <v>0.32</v>
      </c>
      <c r="L207" s="6">
        <v>9.06</v>
      </c>
      <c r="M207" s="6">
        <v>101.31</v>
      </c>
      <c r="N207" s="6">
        <v>10</v>
      </c>
      <c r="O207" s="6">
        <v>8.9499999999999993</v>
      </c>
      <c r="P207" s="6">
        <v>1.51</v>
      </c>
      <c r="Q207" t="s">
        <v>64</v>
      </c>
      <c r="R207" t="s">
        <v>65</v>
      </c>
      <c r="S207" t="s">
        <v>65</v>
      </c>
      <c r="T207" t="s">
        <v>66</v>
      </c>
      <c r="U207" t="s">
        <v>67</v>
      </c>
    </row>
    <row r="208" spans="1:21">
      <c r="A208">
        <v>2017</v>
      </c>
      <c r="B208">
        <v>3</v>
      </c>
      <c r="C208" t="s">
        <v>70</v>
      </c>
      <c r="D208" t="s">
        <v>284</v>
      </c>
      <c r="E208" s="7">
        <v>36</v>
      </c>
      <c r="F208" s="7">
        <v>0</v>
      </c>
      <c r="G208" s="6">
        <v>24.76</v>
      </c>
      <c r="H208" s="6">
        <v>16.309999999999999</v>
      </c>
      <c r="I208" s="6">
        <v>34.21</v>
      </c>
      <c r="J208" s="6">
        <v>70.3</v>
      </c>
      <c r="K208" s="6">
        <v>7.35</v>
      </c>
      <c r="L208" s="6">
        <v>227.94</v>
      </c>
      <c r="M208" s="6">
        <v>100.94</v>
      </c>
      <c r="N208" s="6">
        <v>10.6</v>
      </c>
      <c r="O208" s="6">
        <v>13.4</v>
      </c>
      <c r="P208" s="6">
        <v>2.0099999999999998</v>
      </c>
      <c r="Q208" t="s">
        <v>64</v>
      </c>
      <c r="R208" t="s">
        <v>65</v>
      </c>
      <c r="S208" t="s">
        <v>65</v>
      </c>
      <c r="T208" t="s">
        <v>66</v>
      </c>
      <c r="U208" t="s">
        <v>67</v>
      </c>
    </row>
    <row r="209" spans="1:21">
      <c r="A209">
        <v>2017</v>
      </c>
      <c r="B209">
        <v>4</v>
      </c>
      <c r="C209" t="s">
        <v>72</v>
      </c>
      <c r="D209" t="s">
        <v>285</v>
      </c>
      <c r="E209" s="7">
        <v>73</v>
      </c>
      <c r="F209" s="7">
        <v>0</v>
      </c>
      <c r="G209" s="6">
        <v>27.36</v>
      </c>
      <c r="H209" s="6">
        <v>20.8</v>
      </c>
      <c r="I209" s="6">
        <v>33.97</v>
      </c>
      <c r="J209" s="6">
        <v>83.45</v>
      </c>
      <c r="K209" s="6">
        <v>16.72</v>
      </c>
      <c r="L209" s="6">
        <v>501.55</v>
      </c>
      <c r="M209" s="6">
        <v>100.65</v>
      </c>
      <c r="N209" s="6">
        <v>10.64</v>
      </c>
      <c r="O209" s="6">
        <v>18.7</v>
      </c>
      <c r="P209" s="6">
        <v>3.02</v>
      </c>
      <c r="Q209" t="s">
        <v>64</v>
      </c>
      <c r="R209" t="s">
        <v>65</v>
      </c>
      <c r="S209" t="s">
        <v>65</v>
      </c>
      <c r="T209" t="s">
        <v>66</v>
      </c>
      <c r="U209" t="s">
        <v>67</v>
      </c>
    </row>
    <row r="210" spans="1:21">
      <c r="A210">
        <v>2017</v>
      </c>
      <c r="B210">
        <v>5</v>
      </c>
      <c r="C210" t="s">
        <v>74</v>
      </c>
      <c r="D210" t="s">
        <v>286</v>
      </c>
      <c r="E210" s="7">
        <v>134</v>
      </c>
      <c r="F210" s="7">
        <v>1</v>
      </c>
      <c r="G210" s="6">
        <v>28.49</v>
      </c>
      <c r="H210" s="6">
        <v>23.4</v>
      </c>
      <c r="I210" s="6">
        <v>33.24</v>
      </c>
      <c r="J210" s="6">
        <v>85.98</v>
      </c>
      <c r="K210" s="6">
        <v>11.11</v>
      </c>
      <c r="L210" s="6">
        <v>344.56</v>
      </c>
      <c r="M210" s="6">
        <v>100.43</v>
      </c>
      <c r="N210" s="6">
        <v>15.29</v>
      </c>
      <c r="O210" s="6">
        <v>20.86</v>
      </c>
      <c r="P210" s="6">
        <v>1.97</v>
      </c>
      <c r="Q210" t="s">
        <v>64</v>
      </c>
      <c r="R210" t="s">
        <v>65</v>
      </c>
      <c r="S210" t="s">
        <v>65</v>
      </c>
      <c r="T210" t="s">
        <v>66</v>
      </c>
      <c r="U210" t="s">
        <v>67</v>
      </c>
    </row>
    <row r="211" spans="1:21">
      <c r="A211">
        <v>2017</v>
      </c>
      <c r="B211">
        <v>6</v>
      </c>
      <c r="C211" t="s">
        <v>76</v>
      </c>
      <c r="D211" t="s">
        <v>287</v>
      </c>
      <c r="E211" s="7">
        <v>267</v>
      </c>
      <c r="F211" s="7">
        <v>0</v>
      </c>
      <c r="G211" s="6">
        <v>28.36</v>
      </c>
      <c r="H211" s="6">
        <v>25.93</v>
      </c>
      <c r="I211" s="6">
        <v>32.43</v>
      </c>
      <c r="J211" s="6">
        <v>91.76</v>
      </c>
      <c r="K211" s="6">
        <v>23.36</v>
      </c>
      <c r="L211" s="6">
        <v>700.82</v>
      </c>
      <c r="M211" s="6">
        <v>100.04</v>
      </c>
      <c r="N211" s="6">
        <v>16.21</v>
      </c>
      <c r="O211" s="6">
        <v>22.29</v>
      </c>
      <c r="P211" s="6">
        <v>3</v>
      </c>
      <c r="Q211" t="s">
        <v>64</v>
      </c>
      <c r="R211" t="s">
        <v>65</v>
      </c>
      <c r="S211" t="s">
        <v>65</v>
      </c>
      <c r="T211" t="s">
        <v>66</v>
      </c>
      <c r="U211" t="s">
        <v>67</v>
      </c>
    </row>
    <row r="212" spans="1:21">
      <c r="A212">
        <v>2017</v>
      </c>
      <c r="B212">
        <v>7</v>
      </c>
      <c r="C212" t="s">
        <v>78</v>
      </c>
      <c r="D212" t="s">
        <v>288</v>
      </c>
      <c r="E212" s="7">
        <v>286</v>
      </c>
      <c r="F212" s="7">
        <v>2</v>
      </c>
      <c r="G212" s="6">
        <v>28.07</v>
      </c>
      <c r="H212" s="6">
        <v>25.55</v>
      </c>
      <c r="I212" s="6">
        <v>32.11</v>
      </c>
      <c r="J212" s="6">
        <v>91.48</v>
      </c>
      <c r="K212" s="6">
        <v>29.37</v>
      </c>
      <c r="L212" s="6">
        <v>910.38</v>
      </c>
      <c r="M212" s="6">
        <v>100.07</v>
      </c>
      <c r="N212" s="6">
        <v>11.02</v>
      </c>
      <c r="O212" s="6">
        <v>21.83</v>
      </c>
      <c r="P212" s="6">
        <v>2.91</v>
      </c>
      <c r="Q212" t="s">
        <v>64</v>
      </c>
      <c r="R212" t="s">
        <v>65</v>
      </c>
      <c r="S212" t="s">
        <v>65</v>
      </c>
      <c r="T212" t="s">
        <v>66</v>
      </c>
      <c r="U212" t="s">
        <v>67</v>
      </c>
    </row>
    <row r="213" spans="1:21">
      <c r="A213">
        <v>2017</v>
      </c>
      <c r="B213">
        <v>8</v>
      </c>
      <c r="C213" t="s">
        <v>80</v>
      </c>
      <c r="D213" t="s">
        <v>289</v>
      </c>
      <c r="E213" s="7">
        <v>346</v>
      </c>
      <c r="F213" s="7">
        <v>0</v>
      </c>
      <c r="G213" s="6">
        <v>28.29</v>
      </c>
      <c r="H213" s="6">
        <v>25.74</v>
      </c>
      <c r="I213" s="6">
        <v>32.4</v>
      </c>
      <c r="J213" s="6">
        <v>90.42</v>
      </c>
      <c r="K213" s="6">
        <v>32.49</v>
      </c>
      <c r="L213" s="6">
        <v>1007.3</v>
      </c>
      <c r="M213" s="6">
        <v>100.2</v>
      </c>
      <c r="N213" s="6">
        <v>9.58</v>
      </c>
      <c r="O213" s="6">
        <v>21.8</v>
      </c>
      <c r="P213" s="6">
        <v>2.35</v>
      </c>
      <c r="Q213" t="s">
        <v>64</v>
      </c>
      <c r="R213" t="s">
        <v>65</v>
      </c>
      <c r="S213" t="s">
        <v>65</v>
      </c>
      <c r="T213" t="s">
        <v>66</v>
      </c>
      <c r="U213" t="s">
        <v>67</v>
      </c>
    </row>
    <row r="214" spans="1:21">
      <c r="A214">
        <v>2017</v>
      </c>
      <c r="B214">
        <v>9</v>
      </c>
      <c r="C214" t="s">
        <v>82</v>
      </c>
      <c r="D214" t="s">
        <v>290</v>
      </c>
      <c r="E214" s="7">
        <v>430</v>
      </c>
      <c r="F214" s="7">
        <v>1</v>
      </c>
      <c r="G214" s="6">
        <v>28.11</v>
      </c>
      <c r="H214" s="6">
        <v>25.32</v>
      </c>
      <c r="I214" s="6">
        <v>33.03</v>
      </c>
      <c r="J214" s="6">
        <v>89.76</v>
      </c>
      <c r="K214" s="6">
        <v>19.5</v>
      </c>
      <c r="L214" s="6">
        <v>585.11</v>
      </c>
      <c r="M214" s="6">
        <v>100.48</v>
      </c>
      <c r="N214" s="6">
        <v>7.73</v>
      </c>
      <c r="O214" s="6">
        <v>21.35</v>
      </c>
      <c r="P214" s="6">
        <v>1.73</v>
      </c>
      <c r="Q214" t="s">
        <v>64</v>
      </c>
      <c r="R214" t="s">
        <v>65</v>
      </c>
      <c r="S214" t="s">
        <v>65</v>
      </c>
      <c r="T214" t="s">
        <v>66</v>
      </c>
      <c r="U214" t="s">
        <v>67</v>
      </c>
    </row>
    <row r="215" spans="1:21">
      <c r="A215">
        <v>2017</v>
      </c>
      <c r="B215">
        <v>10</v>
      </c>
      <c r="C215" t="s">
        <v>84</v>
      </c>
      <c r="D215" t="s">
        <v>291</v>
      </c>
      <c r="E215" s="7">
        <v>512</v>
      </c>
      <c r="F215" s="7">
        <v>1</v>
      </c>
      <c r="G215" s="6">
        <v>26.5</v>
      </c>
      <c r="H215" s="6">
        <v>18.829999999999998</v>
      </c>
      <c r="I215" s="6">
        <v>32.369999999999997</v>
      </c>
      <c r="J215" s="6">
        <v>85.91</v>
      </c>
      <c r="K215" s="6">
        <v>14.84</v>
      </c>
      <c r="L215" s="6">
        <v>459.94</v>
      </c>
      <c r="M215" s="6">
        <v>100.76</v>
      </c>
      <c r="N215" s="6">
        <v>16.95</v>
      </c>
      <c r="O215" s="6">
        <v>18.63</v>
      </c>
      <c r="P215" s="6">
        <v>1.71</v>
      </c>
      <c r="Q215" t="s">
        <v>64</v>
      </c>
      <c r="R215" t="s">
        <v>65</v>
      </c>
      <c r="S215" t="s">
        <v>65</v>
      </c>
      <c r="T215" t="s">
        <v>66</v>
      </c>
      <c r="U215" t="s">
        <v>67</v>
      </c>
    </row>
    <row r="216" spans="1:21">
      <c r="A216">
        <v>2017</v>
      </c>
      <c r="B216">
        <v>11</v>
      </c>
      <c r="C216" t="s">
        <v>86</v>
      </c>
      <c r="D216" t="s">
        <v>292</v>
      </c>
      <c r="E216" s="7">
        <v>409</v>
      </c>
      <c r="F216" s="7">
        <v>1</v>
      </c>
      <c r="G216" s="6">
        <v>22.38</v>
      </c>
      <c r="H216" s="6">
        <v>13.35</v>
      </c>
      <c r="I216" s="6">
        <v>30.26</v>
      </c>
      <c r="J216" s="6">
        <v>81.650000000000006</v>
      </c>
      <c r="K216" s="6">
        <v>0.53</v>
      </c>
      <c r="L216" s="6">
        <v>15.88</v>
      </c>
      <c r="M216" s="6">
        <v>101.15</v>
      </c>
      <c r="N216" s="6">
        <v>6.92</v>
      </c>
      <c r="O216" s="6">
        <v>13.73</v>
      </c>
      <c r="P216" s="6">
        <v>1.47</v>
      </c>
      <c r="Q216" t="s">
        <v>64</v>
      </c>
      <c r="R216" t="s">
        <v>65</v>
      </c>
      <c r="S216" t="s">
        <v>65</v>
      </c>
      <c r="T216" t="s">
        <v>66</v>
      </c>
      <c r="U216" t="s">
        <v>67</v>
      </c>
    </row>
    <row r="217" spans="1:21">
      <c r="A217">
        <v>2017</v>
      </c>
      <c r="B217">
        <v>12</v>
      </c>
      <c r="C217" t="s">
        <v>88</v>
      </c>
      <c r="D217" t="s">
        <v>293</v>
      </c>
      <c r="E217" s="7">
        <v>126</v>
      </c>
      <c r="F217" s="7">
        <v>2</v>
      </c>
      <c r="G217" s="6">
        <v>20.010000000000002</v>
      </c>
      <c r="H217" s="6">
        <v>12.99</v>
      </c>
      <c r="I217" s="6">
        <v>26.51</v>
      </c>
      <c r="J217" s="6">
        <v>82.82</v>
      </c>
      <c r="K217" s="6">
        <v>4.75</v>
      </c>
      <c r="L217" s="6">
        <v>147.19</v>
      </c>
      <c r="M217" s="6">
        <v>101.39</v>
      </c>
      <c r="N217" s="6">
        <v>7.3</v>
      </c>
      <c r="O217" s="6">
        <v>11.95</v>
      </c>
      <c r="P217" s="6">
        <v>1.27</v>
      </c>
      <c r="Q217" t="s">
        <v>64</v>
      </c>
      <c r="R217" t="s">
        <v>65</v>
      </c>
      <c r="S217" t="s">
        <v>65</v>
      </c>
      <c r="T217" t="s">
        <v>66</v>
      </c>
      <c r="U217" t="s">
        <v>67</v>
      </c>
    </row>
    <row r="218" spans="1:21">
      <c r="A218">
        <v>2018</v>
      </c>
      <c r="B218">
        <v>1</v>
      </c>
      <c r="C218" t="s">
        <v>62</v>
      </c>
      <c r="D218" t="s">
        <v>294</v>
      </c>
      <c r="E218" s="7">
        <v>26</v>
      </c>
      <c r="F218" s="7">
        <v>0</v>
      </c>
      <c r="G218" s="6">
        <v>15.54</v>
      </c>
      <c r="H218" s="6">
        <v>7.01</v>
      </c>
      <c r="I218" s="6">
        <v>24.46</v>
      </c>
      <c r="J218" s="6">
        <v>74.819999999999993</v>
      </c>
      <c r="K218" s="6">
        <v>0.08</v>
      </c>
      <c r="L218" s="6">
        <v>2.4900000000000002</v>
      </c>
      <c r="M218" s="6">
        <v>101.28</v>
      </c>
      <c r="N218" s="6">
        <v>6.33</v>
      </c>
      <c r="O218" s="6">
        <v>8.1</v>
      </c>
      <c r="P218" s="6">
        <v>1.45</v>
      </c>
      <c r="Q218" t="s">
        <v>64</v>
      </c>
      <c r="R218" t="s">
        <v>65</v>
      </c>
      <c r="S218" t="s">
        <v>65</v>
      </c>
      <c r="T218" t="s">
        <v>66</v>
      </c>
      <c r="U218" t="s">
        <v>67</v>
      </c>
    </row>
    <row r="219" spans="1:21">
      <c r="A219">
        <v>2018</v>
      </c>
      <c r="B219">
        <v>2</v>
      </c>
      <c r="C219" t="s">
        <v>68</v>
      </c>
      <c r="D219" t="s">
        <v>295</v>
      </c>
      <c r="E219" s="7">
        <v>7</v>
      </c>
      <c r="F219" s="7">
        <v>0</v>
      </c>
      <c r="G219" s="6">
        <v>21.48</v>
      </c>
      <c r="H219" s="6">
        <v>11.83</v>
      </c>
      <c r="I219" s="6">
        <v>31.56</v>
      </c>
      <c r="J219" s="6">
        <v>67.66</v>
      </c>
      <c r="K219" s="6">
        <v>0.53</v>
      </c>
      <c r="L219" s="6">
        <v>14.85</v>
      </c>
      <c r="M219" s="6">
        <v>101.26</v>
      </c>
      <c r="N219" s="6">
        <v>7.86</v>
      </c>
      <c r="O219" s="6">
        <v>10.46</v>
      </c>
      <c r="P219" s="6">
        <v>1.27</v>
      </c>
      <c r="Q219" t="s">
        <v>64</v>
      </c>
      <c r="R219" t="s">
        <v>65</v>
      </c>
      <c r="S219" t="s">
        <v>65</v>
      </c>
      <c r="T219" t="s">
        <v>66</v>
      </c>
      <c r="U219" t="s">
        <v>67</v>
      </c>
    </row>
    <row r="220" spans="1:21">
      <c r="A220">
        <v>2018</v>
      </c>
      <c r="B220">
        <v>3</v>
      </c>
      <c r="C220" t="s">
        <v>70</v>
      </c>
      <c r="D220" t="s">
        <v>296</v>
      </c>
      <c r="E220" s="7">
        <v>19</v>
      </c>
      <c r="F220" s="7">
        <v>0</v>
      </c>
      <c r="G220" s="6">
        <v>26.68</v>
      </c>
      <c r="H220" s="6">
        <v>16.77</v>
      </c>
      <c r="I220" s="6">
        <v>35.18</v>
      </c>
      <c r="J220" s="6">
        <v>61.95</v>
      </c>
      <c r="K220" s="6">
        <v>1.32</v>
      </c>
      <c r="L220" s="6">
        <v>40.98</v>
      </c>
      <c r="M220" s="6">
        <v>100.9</v>
      </c>
      <c r="N220" s="6">
        <v>9.1300000000000008</v>
      </c>
      <c r="O220" s="6">
        <v>12.79</v>
      </c>
      <c r="P220" s="6">
        <v>1.7</v>
      </c>
      <c r="Q220" t="s">
        <v>64</v>
      </c>
      <c r="R220" t="s">
        <v>65</v>
      </c>
      <c r="S220" t="s">
        <v>65</v>
      </c>
      <c r="T220" t="s">
        <v>66</v>
      </c>
      <c r="U220" t="s">
        <v>67</v>
      </c>
    </row>
    <row r="221" spans="1:21">
      <c r="A221">
        <v>2018</v>
      </c>
      <c r="B221">
        <v>4</v>
      </c>
      <c r="C221" t="s">
        <v>72</v>
      </c>
      <c r="D221" t="s">
        <v>297</v>
      </c>
      <c r="E221" s="7">
        <v>29</v>
      </c>
      <c r="F221" s="7">
        <v>0</v>
      </c>
      <c r="G221" s="6">
        <v>27.52</v>
      </c>
      <c r="H221" s="6">
        <v>20.9</v>
      </c>
      <c r="I221" s="6">
        <v>35.4</v>
      </c>
      <c r="J221" s="6">
        <v>75.97</v>
      </c>
      <c r="K221" s="6">
        <v>11.8</v>
      </c>
      <c r="L221" s="6">
        <v>353.92</v>
      </c>
      <c r="M221" s="6">
        <v>100.75</v>
      </c>
      <c r="N221" s="6">
        <v>8.8000000000000007</v>
      </c>
      <c r="O221" s="6">
        <v>17</v>
      </c>
      <c r="P221" s="6">
        <v>1.86</v>
      </c>
      <c r="Q221" t="s">
        <v>64</v>
      </c>
      <c r="R221" t="s">
        <v>65</v>
      </c>
      <c r="S221" t="s">
        <v>65</v>
      </c>
      <c r="T221" t="s">
        <v>66</v>
      </c>
      <c r="U221" t="s">
        <v>67</v>
      </c>
    </row>
    <row r="222" spans="1:21">
      <c r="A222">
        <v>2018</v>
      </c>
      <c r="B222">
        <v>5</v>
      </c>
      <c r="C222" t="s">
        <v>74</v>
      </c>
      <c r="D222" t="s">
        <v>298</v>
      </c>
      <c r="E222" s="7">
        <v>52</v>
      </c>
      <c r="F222" s="7">
        <v>0</v>
      </c>
      <c r="G222" s="6">
        <v>27.8</v>
      </c>
      <c r="H222" s="6">
        <v>23.62</v>
      </c>
      <c r="I222" s="6">
        <v>32.99</v>
      </c>
      <c r="J222" s="6">
        <v>87.77</v>
      </c>
      <c r="K222" s="6">
        <v>19.3</v>
      </c>
      <c r="L222" s="6">
        <v>598.22</v>
      </c>
      <c r="M222" s="6">
        <v>100.51</v>
      </c>
      <c r="N222" s="6">
        <v>8.91</v>
      </c>
      <c r="O222" s="6">
        <v>20.45</v>
      </c>
      <c r="P222" s="6">
        <v>2.37</v>
      </c>
      <c r="Q222" t="s">
        <v>64</v>
      </c>
      <c r="R222" t="s">
        <v>65</v>
      </c>
      <c r="S222" t="s">
        <v>65</v>
      </c>
      <c r="T222" t="s">
        <v>66</v>
      </c>
      <c r="U222" t="s">
        <v>67</v>
      </c>
    </row>
    <row r="223" spans="1:21">
      <c r="A223">
        <v>2018</v>
      </c>
      <c r="B223">
        <v>6</v>
      </c>
      <c r="C223" t="s">
        <v>76</v>
      </c>
      <c r="D223" t="s">
        <v>299</v>
      </c>
      <c r="E223" s="7">
        <v>295</v>
      </c>
      <c r="F223" s="7">
        <v>3</v>
      </c>
      <c r="G223" s="6">
        <v>28.37</v>
      </c>
      <c r="H223" s="6">
        <v>25.23</v>
      </c>
      <c r="I223" s="6">
        <v>33.01</v>
      </c>
      <c r="J223" s="6">
        <v>90.84</v>
      </c>
      <c r="K223" s="6">
        <v>19.05</v>
      </c>
      <c r="L223" s="6">
        <v>571.41999999999996</v>
      </c>
      <c r="M223" s="6">
        <v>99.96</v>
      </c>
      <c r="N223" s="6">
        <v>12.18</v>
      </c>
      <c r="O223" s="6">
        <v>22.1</v>
      </c>
      <c r="P223" s="6">
        <v>2.7</v>
      </c>
      <c r="Q223" t="s">
        <v>64</v>
      </c>
      <c r="R223" t="s">
        <v>65</v>
      </c>
      <c r="S223" t="s">
        <v>65</v>
      </c>
      <c r="T223" t="s">
        <v>66</v>
      </c>
      <c r="U223" t="s">
        <v>67</v>
      </c>
    </row>
    <row r="224" spans="1:21">
      <c r="A224">
        <v>2018</v>
      </c>
      <c r="B224">
        <v>7</v>
      </c>
      <c r="C224" t="s">
        <v>78</v>
      </c>
      <c r="D224" t="s">
        <v>300</v>
      </c>
      <c r="E224" s="7">
        <v>946</v>
      </c>
      <c r="F224" s="7">
        <v>4</v>
      </c>
      <c r="G224" s="6">
        <v>28.5</v>
      </c>
      <c r="H224" s="6">
        <v>25.79</v>
      </c>
      <c r="I224" s="6">
        <v>34.409999999999997</v>
      </c>
      <c r="J224" s="6">
        <v>90.52</v>
      </c>
      <c r="K224" s="6">
        <v>19.86</v>
      </c>
      <c r="L224" s="6">
        <v>615.73</v>
      </c>
      <c r="M224" s="6">
        <v>99.86</v>
      </c>
      <c r="N224" s="6">
        <v>12.44</v>
      </c>
      <c r="O224" s="6">
        <v>22.19</v>
      </c>
      <c r="P224" s="6">
        <v>3.01</v>
      </c>
      <c r="Q224" t="s">
        <v>64</v>
      </c>
      <c r="R224" t="s">
        <v>65</v>
      </c>
      <c r="S224" t="s">
        <v>65</v>
      </c>
      <c r="T224" t="s">
        <v>66</v>
      </c>
      <c r="U224" t="s">
        <v>67</v>
      </c>
    </row>
    <row r="225" spans="1:21">
      <c r="A225">
        <v>2018</v>
      </c>
      <c r="B225">
        <v>8</v>
      </c>
      <c r="C225" t="s">
        <v>80</v>
      </c>
      <c r="D225" t="s">
        <v>301</v>
      </c>
      <c r="E225" s="7">
        <v>1796</v>
      </c>
      <c r="F225" s="7">
        <v>6</v>
      </c>
      <c r="G225" s="6">
        <v>28.38</v>
      </c>
      <c r="H225" s="6">
        <v>25.63</v>
      </c>
      <c r="I225" s="6">
        <v>32.159999999999997</v>
      </c>
      <c r="J225" s="6">
        <v>90.29</v>
      </c>
      <c r="K225" s="6">
        <v>9.9499999999999993</v>
      </c>
      <c r="L225" s="6">
        <v>308.31</v>
      </c>
      <c r="M225" s="6">
        <v>99.95</v>
      </c>
      <c r="N225" s="6">
        <v>10.27</v>
      </c>
      <c r="O225" s="6">
        <v>21.95</v>
      </c>
      <c r="P225" s="6">
        <v>2.4900000000000002</v>
      </c>
      <c r="Q225" t="s">
        <v>64</v>
      </c>
      <c r="R225" t="s">
        <v>65</v>
      </c>
      <c r="S225" t="s">
        <v>65</v>
      </c>
      <c r="T225" t="s">
        <v>66</v>
      </c>
      <c r="U225" t="s">
        <v>67</v>
      </c>
    </row>
    <row r="226" spans="1:21">
      <c r="A226">
        <v>2018</v>
      </c>
      <c r="B226">
        <v>9</v>
      </c>
      <c r="C226" t="s">
        <v>82</v>
      </c>
      <c r="D226" t="s">
        <v>302</v>
      </c>
      <c r="E226" s="7">
        <v>3087</v>
      </c>
      <c r="F226" s="7">
        <v>4</v>
      </c>
      <c r="G226" s="6">
        <v>28.21</v>
      </c>
      <c r="H226" s="6">
        <v>24.76</v>
      </c>
      <c r="I226" s="6">
        <v>32.979999999999997</v>
      </c>
      <c r="J226" s="6">
        <v>87.19</v>
      </c>
      <c r="K226" s="6">
        <v>5.77</v>
      </c>
      <c r="L226" s="6">
        <v>172.99</v>
      </c>
      <c r="M226" s="6">
        <v>100.52</v>
      </c>
      <c r="N226" s="6">
        <v>11.55</v>
      </c>
      <c r="O226" s="6">
        <v>20.79</v>
      </c>
      <c r="P226" s="6">
        <v>1.87</v>
      </c>
      <c r="Q226" t="s">
        <v>64</v>
      </c>
      <c r="R226" t="s">
        <v>65</v>
      </c>
      <c r="S226" t="s">
        <v>65</v>
      </c>
      <c r="T226" t="s">
        <v>66</v>
      </c>
      <c r="U226" t="s">
        <v>67</v>
      </c>
    </row>
    <row r="227" spans="1:21">
      <c r="A227">
        <v>2018</v>
      </c>
      <c r="B227">
        <v>10</v>
      </c>
      <c r="C227" t="s">
        <v>84</v>
      </c>
      <c r="D227" t="s">
        <v>303</v>
      </c>
      <c r="E227" s="7">
        <v>2406</v>
      </c>
      <c r="F227" s="7">
        <v>6</v>
      </c>
      <c r="G227" s="6">
        <v>25.94</v>
      </c>
      <c r="H227" s="6">
        <v>18.7</v>
      </c>
      <c r="I227" s="6">
        <v>32.5</v>
      </c>
      <c r="J227" s="6">
        <v>78.75</v>
      </c>
      <c r="K227" s="6">
        <v>2.02</v>
      </c>
      <c r="L227" s="6">
        <v>62.54</v>
      </c>
      <c r="M227" s="6">
        <v>101.06</v>
      </c>
      <c r="N227" s="6">
        <v>7.83</v>
      </c>
      <c r="O227" s="6">
        <v>16.239999999999998</v>
      </c>
      <c r="P227" s="6">
        <v>1.3</v>
      </c>
      <c r="Q227" t="s">
        <v>64</v>
      </c>
      <c r="R227" t="s">
        <v>65</v>
      </c>
      <c r="S227" t="s">
        <v>65</v>
      </c>
      <c r="T227" t="s">
        <v>66</v>
      </c>
      <c r="U227" t="s">
        <v>67</v>
      </c>
    </row>
    <row r="228" spans="1:21">
      <c r="A228">
        <v>2018</v>
      </c>
      <c r="B228">
        <v>11</v>
      </c>
      <c r="C228" t="s">
        <v>86</v>
      </c>
      <c r="D228" t="s">
        <v>304</v>
      </c>
      <c r="E228" s="7">
        <v>1192</v>
      </c>
      <c r="F228" s="7">
        <v>2</v>
      </c>
      <c r="G228" s="6">
        <v>23.2</v>
      </c>
      <c r="H228" s="6">
        <v>15.58</v>
      </c>
      <c r="I228" s="6">
        <v>30.81</v>
      </c>
      <c r="J228" s="6">
        <v>71.89</v>
      </c>
      <c r="K228" s="6">
        <v>0.78</v>
      </c>
      <c r="L228" s="6">
        <v>23.47</v>
      </c>
      <c r="M228" s="6">
        <v>101.3</v>
      </c>
      <c r="N228" s="6">
        <v>6.36</v>
      </c>
      <c r="O228" s="6">
        <v>12.53</v>
      </c>
      <c r="P228" s="6">
        <v>1.1599999999999999</v>
      </c>
      <c r="Q228" t="s">
        <v>64</v>
      </c>
      <c r="R228" t="s">
        <v>65</v>
      </c>
      <c r="S228" t="s">
        <v>65</v>
      </c>
      <c r="T228" t="s">
        <v>66</v>
      </c>
      <c r="U228" t="s">
        <v>67</v>
      </c>
    </row>
    <row r="229" spans="1:21">
      <c r="A229">
        <v>2018</v>
      </c>
      <c r="B229">
        <v>12</v>
      </c>
      <c r="C229" t="s">
        <v>88</v>
      </c>
      <c r="D229" t="s">
        <v>305</v>
      </c>
      <c r="E229" s="7">
        <v>293</v>
      </c>
      <c r="F229" s="7">
        <v>1</v>
      </c>
      <c r="G229" s="6">
        <v>19.03</v>
      </c>
      <c r="H229" s="6">
        <v>8.02</v>
      </c>
      <c r="I229" s="6">
        <v>27.28</v>
      </c>
      <c r="J229" s="6">
        <v>68.790000000000006</v>
      </c>
      <c r="K229" s="6">
        <v>1.06</v>
      </c>
      <c r="L229" s="6">
        <v>32.9</v>
      </c>
      <c r="M229" s="6">
        <v>101.43</v>
      </c>
      <c r="N229" s="6">
        <v>8.02</v>
      </c>
      <c r="O229" s="6">
        <v>9.17</v>
      </c>
      <c r="P229" s="6">
        <v>1.53</v>
      </c>
      <c r="Q229" t="s">
        <v>64</v>
      </c>
      <c r="R229" t="s">
        <v>65</v>
      </c>
      <c r="S229" t="s">
        <v>65</v>
      </c>
      <c r="T229" t="s">
        <v>66</v>
      </c>
      <c r="U229" t="s">
        <v>67</v>
      </c>
    </row>
    <row r="230" spans="1:21">
      <c r="A230">
        <v>2019</v>
      </c>
      <c r="B230">
        <v>1</v>
      </c>
      <c r="C230" t="s">
        <v>62</v>
      </c>
      <c r="D230" t="s">
        <v>306</v>
      </c>
      <c r="E230" s="7">
        <v>38</v>
      </c>
      <c r="F230" s="7">
        <v>0</v>
      </c>
      <c r="G230" s="6">
        <v>19.04</v>
      </c>
      <c r="H230" s="6">
        <v>9.6999999999999993</v>
      </c>
      <c r="I230" s="6">
        <v>29.77</v>
      </c>
      <c r="J230" s="6">
        <v>57.3</v>
      </c>
      <c r="K230" s="6">
        <v>0</v>
      </c>
      <c r="L230" s="6">
        <v>0</v>
      </c>
      <c r="M230" s="6">
        <v>101.53</v>
      </c>
      <c r="N230" s="6">
        <v>7.71</v>
      </c>
      <c r="O230" s="6">
        <v>7.47</v>
      </c>
      <c r="P230" s="6">
        <v>1.39</v>
      </c>
      <c r="Q230" t="s">
        <v>64</v>
      </c>
      <c r="R230" t="s">
        <v>65</v>
      </c>
      <c r="S230" t="s">
        <v>65</v>
      </c>
      <c r="T230" t="s">
        <v>66</v>
      </c>
      <c r="U230" t="s">
        <v>67</v>
      </c>
    </row>
    <row r="231" spans="1:21">
      <c r="A231">
        <v>2019</v>
      </c>
      <c r="B231">
        <v>2</v>
      </c>
      <c r="C231" t="s">
        <v>68</v>
      </c>
      <c r="D231" t="s">
        <v>307</v>
      </c>
      <c r="E231" s="7">
        <v>18</v>
      </c>
      <c r="F231" s="7">
        <v>0</v>
      </c>
      <c r="G231" s="6">
        <v>22.07</v>
      </c>
      <c r="H231" s="6">
        <v>10.61</v>
      </c>
      <c r="I231" s="6">
        <v>32.590000000000003</v>
      </c>
      <c r="J231" s="6">
        <v>56.33</v>
      </c>
      <c r="K231" s="6">
        <v>3.8</v>
      </c>
      <c r="L231" s="6">
        <v>106.34</v>
      </c>
      <c r="M231" s="6">
        <v>101.34</v>
      </c>
      <c r="N231" s="6">
        <v>8</v>
      </c>
      <c r="O231" s="6">
        <v>8.92</v>
      </c>
      <c r="P231" s="6">
        <v>1.62</v>
      </c>
      <c r="Q231" t="s">
        <v>64</v>
      </c>
      <c r="R231" t="s">
        <v>65</v>
      </c>
      <c r="S231" t="s">
        <v>65</v>
      </c>
      <c r="T231" t="s">
        <v>66</v>
      </c>
      <c r="U231" t="s">
        <v>67</v>
      </c>
    </row>
    <row r="232" spans="1:21">
      <c r="A232">
        <v>2019</v>
      </c>
      <c r="B232">
        <v>3</v>
      </c>
      <c r="C232" t="s">
        <v>70</v>
      </c>
      <c r="D232" t="s">
        <v>308</v>
      </c>
      <c r="E232" s="7">
        <v>17</v>
      </c>
      <c r="F232" s="7">
        <v>0</v>
      </c>
      <c r="G232" s="6">
        <v>25.64</v>
      </c>
      <c r="H232" s="6">
        <v>11.54</v>
      </c>
      <c r="I232" s="6">
        <v>35.33</v>
      </c>
      <c r="J232" s="6">
        <v>61.42</v>
      </c>
      <c r="K232" s="6">
        <v>2.2799999999999998</v>
      </c>
      <c r="L232" s="6">
        <v>70.55</v>
      </c>
      <c r="M232" s="6">
        <v>101.05</v>
      </c>
      <c r="N232" s="6">
        <v>10.81</v>
      </c>
      <c r="O232" s="6">
        <v>12.04</v>
      </c>
      <c r="P232" s="6">
        <v>1.88</v>
      </c>
      <c r="Q232" t="s">
        <v>64</v>
      </c>
      <c r="R232" t="s">
        <v>65</v>
      </c>
      <c r="S232" t="s">
        <v>65</v>
      </c>
      <c r="T232" t="s">
        <v>66</v>
      </c>
      <c r="U232" t="s">
        <v>67</v>
      </c>
    </row>
    <row r="233" spans="1:21">
      <c r="A233">
        <v>2019</v>
      </c>
      <c r="B233">
        <v>4</v>
      </c>
      <c r="C233" t="s">
        <v>72</v>
      </c>
      <c r="D233" t="s">
        <v>309</v>
      </c>
      <c r="E233" s="7">
        <v>58</v>
      </c>
      <c r="F233" s="7">
        <v>2</v>
      </c>
      <c r="G233" s="6">
        <v>29.35</v>
      </c>
      <c r="H233" s="6">
        <v>22.52</v>
      </c>
      <c r="I233" s="6">
        <v>39.74</v>
      </c>
      <c r="J233" s="6">
        <v>67.349999999999994</v>
      </c>
      <c r="K233" s="6">
        <v>2.93</v>
      </c>
      <c r="L233" s="6">
        <v>87.9</v>
      </c>
      <c r="M233" s="6">
        <v>100.72</v>
      </c>
      <c r="N233" s="6">
        <v>12.37</v>
      </c>
      <c r="O233" s="6">
        <v>16.329999999999998</v>
      </c>
      <c r="P233" s="6">
        <v>2.3199999999999998</v>
      </c>
      <c r="Q233" t="s">
        <v>64</v>
      </c>
      <c r="R233" t="s">
        <v>65</v>
      </c>
      <c r="S233" t="s">
        <v>65</v>
      </c>
      <c r="T233" t="s">
        <v>66</v>
      </c>
      <c r="U233" t="s">
        <v>67</v>
      </c>
    </row>
    <row r="234" spans="1:21">
      <c r="A234">
        <v>2019</v>
      </c>
      <c r="B234">
        <v>5</v>
      </c>
      <c r="C234" t="s">
        <v>74</v>
      </c>
      <c r="D234" t="s">
        <v>310</v>
      </c>
      <c r="E234" s="7">
        <v>193</v>
      </c>
      <c r="F234" s="7">
        <v>0</v>
      </c>
      <c r="G234" s="6">
        <v>29.9</v>
      </c>
      <c r="H234" s="6">
        <v>22.97</v>
      </c>
      <c r="I234" s="6">
        <v>38.159999999999997</v>
      </c>
      <c r="J234" s="6">
        <v>78.89</v>
      </c>
      <c r="K234" s="6">
        <v>11.44</v>
      </c>
      <c r="L234" s="6">
        <v>354.78</v>
      </c>
      <c r="M234" s="6">
        <v>100.4</v>
      </c>
      <c r="N234" s="6">
        <v>16.2</v>
      </c>
      <c r="O234" s="6">
        <v>20.39</v>
      </c>
      <c r="P234" s="6">
        <v>3.2</v>
      </c>
      <c r="Q234" t="s">
        <v>64</v>
      </c>
      <c r="R234" t="s">
        <v>65</v>
      </c>
      <c r="S234" t="s">
        <v>65</v>
      </c>
      <c r="T234" t="s">
        <v>66</v>
      </c>
      <c r="U234" t="s">
        <v>67</v>
      </c>
    </row>
    <row r="235" spans="1:21">
      <c r="A235">
        <v>2019</v>
      </c>
      <c r="B235">
        <v>6</v>
      </c>
      <c r="C235" t="s">
        <v>76</v>
      </c>
      <c r="D235" t="s">
        <v>311</v>
      </c>
      <c r="E235" s="7">
        <v>1884</v>
      </c>
      <c r="F235" s="7">
        <v>6</v>
      </c>
      <c r="G235" s="6">
        <v>28.96</v>
      </c>
      <c r="H235" s="6">
        <v>24.68</v>
      </c>
      <c r="I235" s="6">
        <v>34.380000000000003</v>
      </c>
      <c r="J235" s="6">
        <v>88.22</v>
      </c>
      <c r="K235" s="6">
        <v>11.31</v>
      </c>
      <c r="L235" s="6">
        <v>339.18</v>
      </c>
      <c r="M235" s="6">
        <v>100.1</v>
      </c>
      <c r="N235" s="6">
        <v>9.61</v>
      </c>
      <c r="O235" s="6">
        <v>22.11</v>
      </c>
      <c r="P235" s="6">
        <v>2.57</v>
      </c>
      <c r="Q235" t="s">
        <v>64</v>
      </c>
      <c r="R235" t="s">
        <v>65</v>
      </c>
      <c r="S235" t="s">
        <v>65</v>
      </c>
      <c r="T235" t="s">
        <v>66</v>
      </c>
      <c r="U235" t="s">
        <v>67</v>
      </c>
    </row>
    <row r="236" spans="1:21">
      <c r="A236">
        <v>2019</v>
      </c>
      <c r="B236">
        <v>7</v>
      </c>
      <c r="C236" t="s">
        <v>78</v>
      </c>
      <c r="D236" t="s">
        <v>312</v>
      </c>
      <c r="E236" s="7">
        <v>16253</v>
      </c>
      <c r="F236" s="7">
        <v>35</v>
      </c>
      <c r="G236" s="6">
        <v>28.5</v>
      </c>
      <c r="H236" s="6">
        <v>25.73</v>
      </c>
      <c r="I236" s="6">
        <v>33.21</v>
      </c>
      <c r="J236" s="6">
        <v>90.47</v>
      </c>
      <c r="K236" s="6">
        <v>24.03</v>
      </c>
      <c r="L236" s="6">
        <v>744.99</v>
      </c>
      <c r="M236" s="6">
        <v>100.04</v>
      </c>
      <c r="N236" s="6">
        <v>11.98</v>
      </c>
      <c r="O236" s="6">
        <v>22.13</v>
      </c>
      <c r="P236" s="6">
        <v>3.29</v>
      </c>
      <c r="Q236" t="s">
        <v>64</v>
      </c>
      <c r="R236" t="s">
        <v>65</v>
      </c>
      <c r="S236" t="s">
        <v>65</v>
      </c>
      <c r="T236" t="s">
        <v>66</v>
      </c>
      <c r="U236" t="s">
        <v>67</v>
      </c>
    </row>
    <row r="237" spans="1:21">
      <c r="A237">
        <v>2019</v>
      </c>
      <c r="B237">
        <v>8</v>
      </c>
      <c r="C237" t="s">
        <v>80</v>
      </c>
      <c r="D237" t="s">
        <v>313</v>
      </c>
      <c r="E237" s="7">
        <v>52636</v>
      </c>
      <c r="F237" s="7">
        <v>83</v>
      </c>
      <c r="G237" s="6">
        <v>28.52</v>
      </c>
      <c r="H237" s="6">
        <v>25.32</v>
      </c>
      <c r="I237" s="6">
        <v>33.9</v>
      </c>
      <c r="J237" s="6">
        <v>89.26</v>
      </c>
      <c r="K237" s="6">
        <v>17.5</v>
      </c>
      <c r="L237" s="6">
        <v>542.39</v>
      </c>
      <c r="M237" s="6">
        <v>100.06</v>
      </c>
      <c r="N237" s="6">
        <v>12.07</v>
      </c>
      <c r="O237" s="6">
        <v>21.82</v>
      </c>
      <c r="P237" s="6">
        <v>2.46</v>
      </c>
      <c r="Q237" t="s">
        <v>64</v>
      </c>
      <c r="R237" t="s">
        <v>65</v>
      </c>
      <c r="S237" t="s">
        <v>65</v>
      </c>
      <c r="T237" t="s">
        <v>66</v>
      </c>
      <c r="U237" t="s">
        <v>67</v>
      </c>
    </row>
    <row r="238" spans="1:21">
      <c r="A238">
        <v>2019</v>
      </c>
      <c r="B238">
        <v>9</v>
      </c>
      <c r="C238" t="s">
        <v>82</v>
      </c>
      <c r="D238" t="s">
        <v>314</v>
      </c>
      <c r="E238" s="7">
        <v>16856</v>
      </c>
      <c r="F238" s="7">
        <v>27</v>
      </c>
      <c r="G238" s="6">
        <v>28.11</v>
      </c>
      <c r="H238" s="6">
        <v>23.63</v>
      </c>
      <c r="I238" s="6">
        <v>33.31</v>
      </c>
      <c r="J238" s="6">
        <v>87.92</v>
      </c>
      <c r="K238" s="6">
        <v>11.95</v>
      </c>
      <c r="L238" s="6">
        <v>358.58</v>
      </c>
      <c r="M238" s="6">
        <v>100.61</v>
      </c>
      <c r="N238" s="6">
        <v>9.84</v>
      </c>
      <c r="O238" s="6">
        <v>20.88</v>
      </c>
      <c r="P238" s="6">
        <v>1.96</v>
      </c>
      <c r="Q238" t="s">
        <v>64</v>
      </c>
      <c r="R238" t="s">
        <v>65</v>
      </c>
      <c r="S238" t="s">
        <v>65</v>
      </c>
      <c r="T238" t="s">
        <v>66</v>
      </c>
      <c r="U238" t="s">
        <v>67</v>
      </c>
    </row>
    <row r="239" spans="1:21">
      <c r="A239">
        <v>2019</v>
      </c>
      <c r="B239">
        <v>10</v>
      </c>
      <c r="C239" t="s">
        <v>84</v>
      </c>
      <c r="D239" t="s">
        <v>315</v>
      </c>
      <c r="E239" s="7">
        <v>8143</v>
      </c>
      <c r="F239" s="7">
        <v>11</v>
      </c>
      <c r="G239" s="6">
        <v>26.2</v>
      </c>
      <c r="H239" s="6">
        <v>20</v>
      </c>
      <c r="I239" s="6">
        <v>31.83</v>
      </c>
      <c r="J239" s="6">
        <v>86.21</v>
      </c>
      <c r="K239" s="6">
        <v>7.86</v>
      </c>
      <c r="L239" s="6">
        <v>243.8</v>
      </c>
      <c r="M239" s="6">
        <v>101.01</v>
      </c>
      <c r="N239" s="6">
        <v>7.2</v>
      </c>
      <c r="O239" s="6">
        <v>18.190000000000001</v>
      </c>
      <c r="P239" s="6">
        <v>1.46</v>
      </c>
      <c r="Q239" t="s">
        <v>316</v>
      </c>
      <c r="R239" t="s">
        <v>317</v>
      </c>
      <c r="S239" t="s">
        <v>65</v>
      </c>
      <c r="T239" t="s">
        <v>66</v>
      </c>
      <c r="U239" t="s">
        <v>67</v>
      </c>
    </row>
    <row r="240" spans="1:21">
      <c r="A240">
        <v>2019</v>
      </c>
      <c r="B240">
        <v>11</v>
      </c>
      <c r="C240" t="s">
        <v>86</v>
      </c>
      <c r="D240" t="s">
        <v>318</v>
      </c>
      <c r="E240" s="7">
        <v>4011</v>
      </c>
      <c r="F240" s="7">
        <v>2</v>
      </c>
      <c r="G240" s="6">
        <v>23.6</v>
      </c>
      <c r="H240" s="6">
        <v>16.73</v>
      </c>
      <c r="I240" s="6">
        <v>30.21</v>
      </c>
      <c r="J240" s="6">
        <v>82.03</v>
      </c>
      <c r="K240" s="6">
        <v>4.47</v>
      </c>
      <c r="L240" s="6">
        <v>134.18</v>
      </c>
      <c r="M240" s="6">
        <v>101.17</v>
      </c>
      <c r="N240" s="6">
        <v>9.2200000000000006</v>
      </c>
      <c r="O240" s="6">
        <v>14.76</v>
      </c>
      <c r="P240" s="6">
        <v>1.3</v>
      </c>
      <c r="Q240" t="s">
        <v>64</v>
      </c>
      <c r="R240" t="s">
        <v>65</v>
      </c>
      <c r="S240" t="s">
        <v>65</v>
      </c>
      <c r="T240" t="s">
        <v>66</v>
      </c>
      <c r="U240" t="s">
        <v>67</v>
      </c>
    </row>
    <row r="241" spans="1:21">
      <c r="A241">
        <v>2019</v>
      </c>
      <c r="B241">
        <v>12</v>
      </c>
      <c r="C241" t="s">
        <v>88</v>
      </c>
      <c r="D241" t="s">
        <v>319</v>
      </c>
      <c r="E241" s="7">
        <v>1247</v>
      </c>
      <c r="F241" s="7">
        <v>0</v>
      </c>
      <c r="G241" s="6">
        <v>18</v>
      </c>
      <c r="H241" s="6">
        <v>8.76</v>
      </c>
      <c r="I241" s="6">
        <v>27.54</v>
      </c>
      <c r="J241" s="6">
        <v>82.18</v>
      </c>
      <c r="K241" s="6">
        <v>0.56000000000000005</v>
      </c>
      <c r="L241" s="6">
        <v>17.440000000000001</v>
      </c>
      <c r="M241" s="6">
        <v>101.55</v>
      </c>
      <c r="N241" s="6">
        <v>7.34</v>
      </c>
      <c r="O241" s="6">
        <v>10.43</v>
      </c>
      <c r="P241" s="6">
        <v>1.46</v>
      </c>
      <c r="Q241" t="s">
        <v>64</v>
      </c>
      <c r="R241" t="s">
        <v>65</v>
      </c>
      <c r="S241" t="s">
        <v>65</v>
      </c>
      <c r="T241" t="s">
        <v>66</v>
      </c>
      <c r="U241" t="s">
        <v>67</v>
      </c>
    </row>
    <row r="242" spans="1:21">
      <c r="A242">
        <v>2020</v>
      </c>
      <c r="B242">
        <v>1</v>
      </c>
      <c r="C242" t="s">
        <v>62</v>
      </c>
      <c r="D242" t="s">
        <v>320</v>
      </c>
      <c r="E242" s="7">
        <v>199</v>
      </c>
      <c r="F242" s="7">
        <v>0</v>
      </c>
      <c r="G242" s="6">
        <v>16.95</v>
      </c>
      <c r="H242" s="6">
        <v>8.8800000000000008</v>
      </c>
      <c r="I242" s="6">
        <v>26.73</v>
      </c>
      <c r="J242" s="6">
        <v>79.69</v>
      </c>
      <c r="K242" s="6">
        <v>2.34</v>
      </c>
      <c r="L242" s="6">
        <v>72.5</v>
      </c>
      <c r="M242" s="6">
        <v>101.51</v>
      </c>
      <c r="N242" s="6">
        <v>7.99</v>
      </c>
      <c r="O242" s="6">
        <v>9.43</v>
      </c>
      <c r="P242" s="6">
        <v>1.45</v>
      </c>
      <c r="Q242" t="s">
        <v>316</v>
      </c>
      <c r="R242" t="s">
        <v>317</v>
      </c>
      <c r="S242" t="s">
        <v>65</v>
      </c>
      <c r="T242" t="s">
        <v>66</v>
      </c>
      <c r="U242" t="s">
        <v>67</v>
      </c>
    </row>
    <row r="243" spans="1:21">
      <c r="A243">
        <v>2020</v>
      </c>
      <c r="B243">
        <v>2</v>
      </c>
      <c r="C243" t="s">
        <v>68</v>
      </c>
      <c r="D243" t="s">
        <v>321</v>
      </c>
      <c r="E243" s="7">
        <v>45</v>
      </c>
      <c r="F243" s="7">
        <v>0</v>
      </c>
      <c r="G243" s="6">
        <v>19.420000000000002</v>
      </c>
      <c r="H243" s="6">
        <v>9.06</v>
      </c>
      <c r="I243" s="6">
        <v>29.1</v>
      </c>
      <c r="J243" s="6">
        <v>66.3</v>
      </c>
      <c r="K243" s="6">
        <v>0.09</v>
      </c>
      <c r="L243" s="6">
        <v>2.69</v>
      </c>
      <c r="M243" s="6">
        <v>101.49</v>
      </c>
      <c r="N243" s="6">
        <v>7.01</v>
      </c>
      <c r="O243" s="6">
        <v>9.06</v>
      </c>
      <c r="P243" s="6">
        <v>1.4</v>
      </c>
      <c r="Q243" t="s">
        <v>64</v>
      </c>
      <c r="R243" t="s">
        <v>65</v>
      </c>
      <c r="S243" t="s">
        <v>65</v>
      </c>
      <c r="T243" t="s">
        <v>66</v>
      </c>
      <c r="U243" t="s">
        <v>67</v>
      </c>
    </row>
    <row r="244" spans="1:21">
      <c r="A244">
        <v>2020</v>
      </c>
      <c r="B244">
        <v>3</v>
      </c>
      <c r="C244" t="s">
        <v>70</v>
      </c>
      <c r="D244" t="s">
        <v>322</v>
      </c>
      <c r="E244" s="7">
        <v>27</v>
      </c>
      <c r="F244" s="7">
        <v>0</v>
      </c>
      <c r="G244" s="6">
        <v>25.44</v>
      </c>
      <c r="H244" s="6">
        <v>17.809999999999999</v>
      </c>
      <c r="I244" s="6">
        <v>36.450000000000003</v>
      </c>
      <c r="J244" s="6">
        <v>59.19</v>
      </c>
      <c r="K244" s="6">
        <v>2.0699999999999998</v>
      </c>
      <c r="L244" s="6">
        <v>64.14</v>
      </c>
      <c r="M244" s="6">
        <v>101.07</v>
      </c>
      <c r="N244" s="6">
        <v>9.42</v>
      </c>
      <c r="O244" s="6">
        <v>11.41</v>
      </c>
      <c r="P244" s="6">
        <v>1.36</v>
      </c>
      <c r="Q244" t="s">
        <v>64</v>
      </c>
      <c r="R244" t="s">
        <v>65</v>
      </c>
      <c r="S244" t="s">
        <v>65</v>
      </c>
      <c r="T244" t="s">
        <v>66</v>
      </c>
      <c r="U244" t="s">
        <v>67</v>
      </c>
    </row>
    <row r="245" spans="1:21">
      <c r="A245">
        <v>2020</v>
      </c>
      <c r="B245">
        <v>4</v>
      </c>
      <c r="C245" t="s">
        <v>72</v>
      </c>
      <c r="D245" t="s">
        <v>323</v>
      </c>
      <c r="E245" s="7">
        <v>25</v>
      </c>
      <c r="F245" s="7">
        <v>0</v>
      </c>
      <c r="G245" s="6">
        <v>28</v>
      </c>
      <c r="H245" s="6">
        <v>22.14</v>
      </c>
      <c r="I245" s="6">
        <v>36.729999999999997</v>
      </c>
      <c r="J245" s="6">
        <v>71.650000000000006</v>
      </c>
      <c r="K245" s="6">
        <v>9.75</v>
      </c>
      <c r="L245" s="6">
        <v>292.41000000000003</v>
      </c>
      <c r="M245" s="6">
        <v>100.88</v>
      </c>
      <c r="N245" s="6">
        <v>9.3000000000000007</v>
      </c>
      <c r="O245" s="6">
        <v>16.14</v>
      </c>
      <c r="P245" s="6">
        <v>1.91</v>
      </c>
      <c r="Q245" t="s">
        <v>64</v>
      </c>
      <c r="R245" t="s">
        <v>65</v>
      </c>
      <c r="S245" t="s">
        <v>65</v>
      </c>
      <c r="T245" t="s">
        <v>66</v>
      </c>
      <c r="U245" t="s">
        <v>67</v>
      </c>
    </row>
    <row r="246" spans="1:21">
      <c r="A246">
        <v>2020</v>
      </c>
      <c r="B246">
        <v>5</v>
      </c>
      <c r="C246" t="s">
        <v>74</v>
      </c>
      <c r="D246" t="s">
        <v>324</v>
      </c>
      <c r="E246" s="7">
        <v>10</v>
      </c>
      <c r="F246" s="7">
        <v>3</v>
      </c>
      <c r="G246" s="6">
        <v>28.51</v>
      </c>
      <c r="H246" s="6">
        <v>23.61</v>
      </c>
      <c r="I246" s="6">
        <v>33.56</v>
      </c>
      <c r="J246" s="6">
        <v>82.55</v>
      </c>
      <c r="K246" s="6">
        <v>15.13</v>
      </c>
      <c r="L246" s="6">
        <v>469.01</v>
      </c>
      <c r="M246" s="6">
        <v>100.5</v>
      </c>
      <c r="N246" s="6">
        <v>20.58</v>
      </c>
      <c r="O246" s="6">
        <v>19.95</v>
      </c>
      <c r="P246" s="6">
        <v>2.37</v>
      </c>
      <c r="Q246" t="s">
        <v>64</v>
      </c>
      <c r="R246" t="s">
        <v>65</v>
      </c>
      <c r="S246" t="s">
        <v>65</v>
      </c>
      <c r="T246" t="s">
        <v>66</v>
      </c>
      <c r="U246" t="s">
        <v>67</v>
      </c>
    </row>
    <row r="247" spans="1:21">
      <c r="A247">
        <v>2020</v>
      </c>
      <c r="B247">
        <v>6</v>
      </c>
      <c r="C247" t="s">
        <v>76</v>
      </c>
      <c r="D247" t="s">
        <v>325</v>
      </c>
      <c r="E247" s="7">
        <v>20</v>
      </c>
      <c r="F247" s="7">
        <v>0</v>
      </c>
      <c r="G247" s="6">
        <v>28.46</v>
      </c>
      <c r="H247" s="6">
        <v>25.82</v>
      </c>
      <c r="I247" s="6">
        <v>33.22</v>
      </c>
      <c r="J247" s="6">
        <v>90.44</v>
      </c>
      <c r="K247" s="6">
        <v>14.06</v>
      </c>
      <c r="L247" s="6">
        <v>421.94</v>
      </c>
      <c r="M247" s="6">
        <v>100.22</v>
      </c>
      <c r="N247" s="6">
        <v>10.44</v>
      </c>
      <c r="O247" s="6">
        <v>22.03</v>
      </c>
      <c r="P247" s="6">
        <v>2.86</v>
      </c>
      <c r="Q247" t="s">
        <v>316</v>
      </c>
      <c r="R247" t="s">
        <v>317</v>
      </c>
      <c r="S247" t="s">
        <v>65</v>
      </c>
      <c r="T247" t="s">
        <v>66</v>
      </c>
      <c r="U247" t="s">
        <v>67</v>
      </c>
    </row>
    <row r="248" spans="1:21">
      <c r="A248">
        <v>2020</v>
      </c>
      <c r="B248">
        <v>7</v>
      </c>
      <c r="C248" t="s">
        <v>78</v>
      </c>
      <c r="D248" t="s">
        <v>326</v>
      </c>
      <c r="E248" s="7">
        <v>23</v>
      </c>
      <c r="F248" s="7">
        <v>0</v>
      </c>
      <c r="G248" s="6">
        <v>28.61</v>
      </c>
      <c r="H248" s="6">
        <v>25.61</v>
      </c>
      <c r="I248" s="6">
        <v>32.29</v>
      </c>
      <c r="J248" s="6">
        <v>90.43</v>
      </c>
      <c r="K248" s="6">
        <v>13.53</v>
      </c>
      <c r="L248" s="6">
        <v>419.46</v>
      </c>
      <c r="M248" s="6">
        <v>100.21</v>
      </c>
      <c r="N248" s="6">
        <v>9.7799999999999994</v>
      </c>
      <c r="O248" s="6">
        <v>22.22</v>
      </c>
      <c r="P248" s="6">
        <v>2.87</v>
      </c>
      <c r="Q248" t="s">
        <v>316</v>
      </c>
      <c r="R248" t="s">
        <v>317</v>
      </c>
      <c r="S248" t="s">
        <v>65</v>
      </c>
      <c r="T248" t="s">
        <v>66</v>
      </c>
      <c r="U248" t="s">
        <v>67</v>
      </c>
    </row>
    <row r="249" spans="1:21">
      <c r="A249">
        <v>2020</v>
      </c>
      <c r="B249">
        <v>8</v>
      </c>
      <c r="C249" t="s">
        <v>80</v>
      </c>
      <c r="D249" t="s">
        <v>327</v>
      </c>
      <c r="E249" s="7">
        <v>68</v>
      </c>
      <c r="F249" s="7">
        <v>0</v>
      </c>
      <c r="G249" s="6">
        <v>28.41</v>
      </c>
      <c r="H249" s="6">
        <v>25.43</v>
      </c>
      <c r="I249" s="6">
        <v>33.4</v>
      </c>
      <c r="J249" s="6">
        <v>90.18</v>
      </c>
      <c r="K249" s="6">
        <v>12.2</v>
      </c>
      <c r="L249" s="6">
        <v>378.17</v>
      </c>
      <c r="M249" s="6">
        <v>100.03</v>
      </c>
      <c r="N249" s="6">
        <v>14.81</v>
      </c>
      <c r="O249" s="6">
        <v>21.94</v>
      </c>
      <c r="P249" s="6">
        <v>2.96</v>
      </c>
      <c r="Q249" t="s">
        <v>316</v>
      </c>
      <c r="R249" t="s">
        <v>317</v>
      </c>
      <c r="S249" t="s">
        <v>65</v>
      </c>
      <c r="T249" t="s">
        <v>66</v>
      </c>
      <c r="U249" t="s">
        <v>67</v>
      </c>
    </row>
    <row r="250" spans="1:21">
      <c r="A250">
        <v>2020</v>
      </c>
      <c r="B250">
        <v>9</v>
      </c>
      <c r="C250" t="s">
        <v>82</v>
      </c>
      <c r="D250" t="s">
        <v>328</v>
      </c>
      <c r="E250" s="7">
        <v>47</v>
      </c>
      <c r="F250" s="7">
        <v>0</v>
      </c>
      <c r="G250" s="6">
        <v>28.49</v>
      </c>
      <c r="H250" s="6">
        <v>25.09</v>
      </c>
      <c r="I250" s="6">
        <v>33.57</v>
      </c>
      <c r="J250" s="6">
        <v>89.07</v>
      </c>
      <c r="K250" s="6">
        <v>11.73</v>
      </c>
      <c r="L250" s="6">
        <v>352.04</v>
      </c>
      <c r="M250" s="6">
        <v>100.39</v>
      </c>
      <c r="N250" s="6">
        <v>12.24</v>
      </c>
      <c r="O250" s="6">
        <v>21.66</v>
      </c>
      <c r="P250" s="6">
        <v>2.08</v>
      </c>
      <c r="Q250" t="s">
        <v>64</v>
      </c>
      <c r="R250" t="s">
        <v>65</v>
      </c>
      <c r="S250" t="s">
        <v>65</v>
      </c>
      <c r="T250" t="s">
        <v>66</v>
      </c>
      <c r="U250" t="s">
        <v>67</v>
      </c>
    </row>
    <row r="251" spans="1:21">
      <c r="A251">
        <v>2020</v>
      </c>
      <c r="B251">
        <v>10</v>
      </c>
      <c r="C251" t="s">
        <v>84</v>
      </c>
      <c r="D251" t="s">
        <v>329</v>
      </c>
      <c r="E251" s="7">
        <v>164</v>
      </c>
      <c r="F251" s="7">
        <v>0</v>
      </c>
      <c r="G251" s="6">
        <v>27.81</v>
      </c>
      <c r="H251" s="6">
        <v>22.15</v>
      </c>
      <c r="I251" s="6">
        <v>33.1</v>
      </c>
      <c r="J251" s="6">
        <v>86.78</v>
      </c>
      <c r="K251" s="6">
        <v>13.05</v>
      </c>
      <c r="L251" s="6">
        <v>404.45</v>
      </c>
      <c r="M251" s="6">
        <v>100.59</v>
      </c>
      <c r="N251" s="6">
        <v>11.19</v>
      </c>
      <c r="O251" s="6">
        <v>20.22</v>
      </c>
      <c r="P251" s="6">
        <v>1.32</v>
      </c>
      <c r="Q251" t="s">
        <v>316</v>
      </c>
      <c r="R251" t="s">
        <v>317</v>
      </c>
      <c r="S251" t="s">
        <v>65</v>
      </c>
      <c r="T251" t="s">
        <v>66</v>
      </c>
      <c r="U251" t="s">
        <v>67</v>
      </c>
    </row>
    <row r="252" spans="1:21">
      <c r="A252">
        <v>2020</v>
      </c>
      <c r="B252">
        <v>11</v>
      </c>
      <c r="C252" t="s">
        <v>86</v>
      </c>
      <c r="D252" t="s">
        <v>330</v>
      </c>
      <c r="E252" s="7">
        <v>546</v>
      </c>
      <c r="F252" s="7">
        <v>0</v>
      </c>
      <c r="G252" s="6">
        <v>22.84</v>
      </c>
      <c r="H252" s="6">
        <v>13.22</v>
      </c>
      <c r="I252" s="6">
        <v>30.01</v>
      </c>
      <c r="J252" s="6">
        <v>82.49</v>
      </c>
      <c r="K252" s="6">
        <v>1.49</v>
      </c>
      <c r="L252" s="6">
        <v>44.72</v>
      </c>
      <c r="M252" s="6">
        <v>101.3</v>
      </c>
      <c r="N252" s="6">
        <v>6.36</v>
      </c>
      <c r="O252" s="6">
        <v>14.23</v>
      </c>
      <c r="P252" s="6">
        <v>1.29</v>
      </c>
      <c r="Q252" t="s">
        <v>64</v>
      </c>
      <c r="R252" t="s">
        <v>65</v>
      </c>
      <c r="S252" t="s">
        <v>65</v>
      </c>
      <c r="T252" t="s">
        <v>66</v>
      </c>
      <c r="U252" t="s">
        <v>67</v>
      </c>
    </row>
    <row r="253" spans="1:21">
      <c r="A253">
        <v>2020</v>
      </c>
      <c r="B253">
        <v>12</v>
      </c>
      <c r="C253" t="s">
        <v>88</v>
      </c>
      <c r="D253" t="s">
        <v>331</v>
      </c>
      <c r="E253" s="7">
        <v>231</v>
      </c>
      <c r="F253" s="7">
        <v>0</v>
      </c>
      <c r="G253" s="6">
        <v>18.22</v>
      </c>
      <c r="H253" s="6">
        <v>8.15</v>
      </c>
      <c r="I253" s="6">
        <v>26.81</v>
      </c>
      <c r="J253" s="6">
        <v>82.52</v>
      </c>
      <c r="K253" s="6">
        <v>7.0000000000000007E-2</v>
      </c>
      <c r="L253" s="6">
        <v>2.2599999999999998</v>
      </c>
      <c r="M253" s="6">
        <v>101.38</v>
      </c>
      <c r="N253" s="6">
        <v>6.18</v>
      </c>
      <c r="O253" s="6">
        <v>10.65</v>
      </c>
      <c r="P253" s="6">
        <v>1.27</v>
      </c>
      <c r="Q253" t="s">
        <v>316</v>
      </c>
      <c r="R253" t="s">
        <v>317</v>
      </c>
      <c r="S253" t="s">
        <v>65</v>
      </c>
      <c r="T253" t="s">
        <v>66</v>
      </c>
      <c r="U253" t="s">
        <v>67</v>
      </c>
    </row>
    <row r="254" spans="1:21">
      <c r="A254">
        <v>2021</v>
      </c>
      <c r="B254">
        <v>1</v>
      </c>
      <c r="C254" t="s">
        <v>62</v>
      </c>
      <c r="D254" t="s">
        <v>332</v>
      </c>
      <c r="E254" s="7">
        <v>32</v>
      </c>
      <c r="F254" s="7">
        <v>0</v>
      </c>
      <c r="G254" s="6">
        <v>17.579999999999998</v>
      </c>
      <c r="H254" s="6">
        <v>8.32</v>
      </c>
      <c r="I254" s="6">
        <v>26.93</v>
      </c>
      <c r="J254" s="6">
        <v>75.8</v>
      </c>
      <c r="K254" s="6">
        <v>0.17</v>
      </c>
      <c r="L254" s="6">
        <v>5.4</v>
      </c>
      <c r="M254" s="6">
        <v>101.33</v>
      </c>
      <c r="N254" s="6">
        <v>6.59</v>
      </c>
      <c r="O254" s="6">
        <v>9.36</v>
      </c>
      <c r="P254" s="6">
        <v>1.41</v>
      </c>
      <c r="Q254" t="s">
        <v>64</v>
      </c>
      <c r="R254" t="s">
        <v>65</v>
      </c>
      <c r="S254" t="s">
        <v>65</v>
      </c>
      <c r="T254" t="s">
        <v>66</v>
      </c>
      <c r="U254" t="s">
        <v>67</v>
      </c>
    </row>
    <row r="255" spans="1:21">
      <c r="A255">
        <v>2021</v>
      </c>
      <c r="B255">
        <v>2</v>
      </c>
      <c r="C255" t="s">
        <v>68</v>
      </c>
      <c r="D255" t="s">
        <v>333</v>
      </c>
      <c r="E255" s="7">
        <v>9</v>
      </c>
      <c r="F255" s="7">
        <v>0</v>
      </c>
      <c r="G255" s="6">
        <v>20.91</v>
      </c>
      <c r="H255" s="6">
        <v>8.5500000000000007</v>
      </c>
      <c r="I255" s="6">
        <v>33.57</v>
      </c>
      <c r="J255" s="6">
        <v>59.44</v>
      </c>
      <c r="K255" s="6">
        <v>0</v>
      </c>
      <c r="L255" s="6">
        <v>0.1</v>
      </c>
      <c r="M255" s="6">
        <v>101.25</v>
      </c>
      <c r="N255" s="6">
        <v>8.3000000000000007</v>
      </c>
      <c r="O255" s="6">
        <v>8.7799999999999994</v>
      </c>
      <c r="P255" s="6">
        <v>1.49</v>
      </c>
      <c r="Q255" t="s">
        <v>64</v>
      </c>
      <c r="R255" t="s">
        <v>65</v>
      </c>
      <c r="S255" t="s">
        <v>65</v>
      </c>
      <c r="T255" t="s">
        <v>66</v>
      </c>
      <c r="U255" t="s">
        <v>67</v>
      </c>
    </row>
    <row r="256" spans="1:21">
      <c r="A256">
        <v>2021</v>
      </c>
      <c r="B256">
        <v>3</v>
      </c>
      <c r="C256" t="s">
        <v>70</v>
      </c>
      <c r="D256" t="s">
        <v>334</v>
      </c>
      <c r="E256" s="7">
        <v>13</v>
      </c>
      <c r="F256" s="7">
        <v>0</v>
      </c>
      <c r="G256" s="6">
        <v>28.02</v>
      </c>
      <c r="H256" s="6">
        <v>16.89</v>
      </c>
      <c r="I256" s="6">
        <v>39.17</v>
      </c>
      <c r="J256" s="6">
        <v>54.3</v>
      </c>
      <c r="K256" s="6">
        <v>0.51</v>
      </c>
      <c r="L256" s="6">
        <v>15.68</v>
      </c>
      <c r="M256" s="6">
        <v>100.88</v>
      </c>
      <c r="N256" s="6">
        <v>10.49</v>
      </c>
      <c r="O256" s="6">
        <v>11.88</v>
      </c>
      <c r="P256" s="6">
        <v>1.72</v>
      </c>
      <c r="Q256" t="s">
        <v>64</v>
      </c>
      <c r="R256" t="s">
        <v>65</v>
      </c>
      <c r="S256" t="s">
        <v>65</v>
      </c>
      <c r="T256" t="s">
        <v>66</v>
      </c>
      <c r="U256" t="s">
        <v>67</v>
      </c>
    </row>
    <row r="257" spans="1:21">
      <c r="A257">
        <v>2021</v>
      </c>
      <c r="B257">
        <v>4</v>
      </c>
      <c r="C257" t="s">
        <v>72</v>
      </c>
      <c r="D257" t="s">
        <v>335</v>
      </c>
      <c r="E257" s="7">
        <v>3</v>
      </c>
      <c r="F257" s="7">
        <v>0</v>
      </c>
      <c r="G257" s="6">
        <v>30.94</v>
      </c>
      <c r="H257" s="6">
        <v>21.22</v>
      </c>
      <c r="I257" s="6">
        <v>40.020000000000003</v>
      </c>
      <c r="J257" s="6">
        <v>53.92</v>
      </c>
      <c r="K257" s="6">
        <v>1.52</v>
      </c>
      <c r="L257" s="6">
        <v>45.5</v>
      </c>
      <c r="M257" s="6">
        <v>100.74</v>
      </c>
      <c r="N257" s="6">
        <v>10.14</v>
      </c>
      <c r="O257" s="6">
        <v>14.02</v>
      </c>
      <c r="P257" s="6">
        <v>2.13</v>
      </c>
      <c r="Q257" t="s">
        <v>64</v>
      </c>
      <c r="R257" t="s">
        <v>65</v>
      </c>
      <c r="S257" t="s">
        <v>65</v>
      </c>
      <c r="T257" t="s">
        <v>66</v>
      </c>
      <c r="U257" t="s">
        <v>67</v>
      </c>
    </row>
    <row r="258" spans="1:21">
      <c r="A258">
        <v>2021</v>
      </c>
      <c r="B258">
        <v>5</v>
      </c>
      <c r="C258" t="s">
        <v>74</v>
      </c>
      <c r="D258" t="s">
        <v>336</v>
      </c>
      <c r="E258" s="7">
        <v>43</v>
      </c>
      <c r="F258" s="7">
        <v>0</v>
      </c>
      <c r="G258" s="6">
        <v>30.1</v>
      </c>
      <c r="H258" s="6">
        <v>23.28</v>
      </c>
      <c r="I258" s="6">
        <v>38.380000000000003</v>
      </c>
      <c r="J258" s="6">
        <v>71.59</v>
      </c>
      <c r="K258" s="6">
        <v>9.5</v>
      </c>
      <c r="L258" s="6">
        <v>294.38</v>
      </c>
      <c r="M258" s="6">
        <v>100.46</v>
      </c>
      <c r="N258" s="6">
        <v>15.02</v>
      </c>
      <c r="O258" s="6">
        <v>18.68</v>
      </c>
      <c r="P258" s="6">
        <v>2.35</v>
      </c>
      <c r="Q258" t="s">
        <v>64</v>
      </c>
      <c r="R258" t="s">
        <v>65</v>
      </c>
      <c r="S258" t="s">
        <v>65</v>
      </c>
      <c r="T258" t="s">
        <v>66</v>
      </c>
      <c r="U258" t="s">
        <v>67</v>
      </c>
    </row>
    <row r="259" spans="1:21">
      <c r="A259">
        <v>2021</v>
      </c>
      <c r="B259">
        <v>6</v>
      </c>
      <c r="C259" t="s">
        <v>76</v>
      </c>
      <c r="D259" t="s">
        <v>337</v>
      </c>
      <c r="E259" s="7">
        <v>272</v>
      </c>
      <c r="F259" s="7">
        <v>0</v>
      </c>
      <c r="G259" s="6">
        <v>28.35</v>
      </c>
      <c r="H259" s="6">
        <v>24.73</v>
      </c>
      <c r="I259" s="6">
        <v>32.619999999999997</v>
      </c>
      <c r="J259" s="6">
        <v>88.86</v>
      </c>
      <c r="K259" s="6">
        <v>16.7</v>
      </c>
      <c r="L259" s="6">
        <v>500.94</v>
      </c>
      <c r="M259" s="6">
        <v>100.15</v>
      </c>
      <c r="N259" s="6">
        <v>10.57</v>
      </c>
      <c r="O259" s="6">
        <v>21.5</v>
      </c>
      <c r="P259" s="6">
        <v>3.12</v>
      </c>
      <c r="Q259" t="s">
        <v>64</v>
      </c>
      <c r="R259" t="s">
        <v>65</v>
      </c>
      <c r="S259" t="s">
        <v>65</v>
      </c>
      <c r="T259" t="s">
        <v>66</v>
      </c>
      <c r="U259" t="s">
        <v>67</v>
      </c>
    </row>
    <row r="260" spans="1:21">
      <c r="A260">
        <v>2021</v>
      </c>
      <c r="B260">
        <v>7</v>
      </c>
      <c r="C260" t="s">
        <v>78</v>
      </c>
      <c r="D260" t="s">
        <v>338</v>
      </c>
      <c r="E260" s="7">
        <v>2286</v>
      </c>
      <c r="F260" s="7">
        <v>12</v>
      </c>
      <c r="G260" s="6">
        <v>28.62</v>
      </c>
      <c r="H260" s="6">
        <v>26.03</v>
      </c>
      <c r="I260" s="6">
        <v>32.99</v>
      </c>
      <c r="J260" s="6">
        <v>88.94</v>
      </c>
      <c r="K260" s="6">
        <v>14</v>
      </c>
      <c r="L260" s="6">
        <v>433.9</v>
      </c>
      <c r="M260" s="6">
        <v>100.04</v>
      </c>
      <c r="N260" s="6">
        <v>17.12</v>
      </c>
      <c r="O260" s="6">
        <v>21.89</v>
      </c>
      <c r="P260" s="6">
        <v>2.92</v>
      </c>
      <c r="Q260" t="s">
        <v>64</v>
      </c>
      <c r="R260" t="s">
        <v>65</v>
      </c>
      <c r="S260" t="s">
        <v>65</v>
      </c>
      <c r="T260" t="s">
        <v>66</v>
      </c>
      <c r="U260" t="s">
        <v>67</v>
      </c>
    </row>
    <row r="261" spans="1:21">
      <c r="A261">
        <v>2021</v>
      </c>
      <c r="B261">
        <v>8</v>
      </c>
      <c r="C261" t="s">
        <v>80</v>
      </c>
      <c r="D261" t="s">
        <v>339</v>
      </c>
      <c r="E261" s="7">
        <v>7698</v>
      </c>
      <c r="F261" s="7">
        <v>34</v>
      </c>
      <c r="G261" s="6">
        <v>28.28</v>
      </c>
      <c r="H261" s="6">
        <v>25.33</v>
      </c>
      <c r="I261" s="6">
        <v>33.159999999999997</v>
      </c>
      <c r="J261" s="6">
        <v>90.41</v>
      </c>
      <c r="K261" s="6">
        <v>12.61</v>
      </c>
      <c r="L261" s="6">
        <v>390.86</v>
      </c>
      <c r="M261" s="6">
        <v>100.27</v>
      </c>
      <c r="N261" s="6">
        <v>11.58</v>
      </c>
      <c r="O261" s="6">
        <v>21.77</v>
      </c>
      <c r="P261" s="6">
        <v>2.65</v>
      </c>
      <c r="Q261" t="s">
        <v>64</v>
      </c>
      <c r="R261" t="s">
        <v>65</v>
      </c>
      <c r="S261" t="s">
        <v>65</v>
      </c>
      <c r="T261" t="s">
        <v>66</v>
      </c>
      <c r="U261" t="s">
        <v>67</v>
      </c>
    </row>
    <row r="262" spans="1:21">
      <c r="A262">
        <v>2021</v>
      </c>
      <c r="B262">
        <v>9</v>
      </c>
      <c r="C262" t="s">
        <v>82</v>
      </c>
      <c r="D262" t="s">
        <v>340</v>
      </c>
      <c r="E262" s="7">
        <v>7841</v>
      </c>
      <c r="F262" s="7">
        <v>23</v>
      </c>
      <c r="G262" s="6">
        <v>27.8</v>
      </c>
      <c r="H262" s="6">
        <v>23.62</v>
      </c>
      <c r="I262" s="6">
        <v>32.909999999999997</v>
      </c>
      <c r="J262" s="6">
        <v>88.58</v>
      </c>
      <c r="K262" s="6">
        <v>9.2200000000000006</v>
      </c>
      <c r="L262" s="6">
        <v>276.52</v>
      </c>
      <c r="M262" s="6">
        <v>100.49</v>
      </c>
      <c r="N262" s="6">
        <v>11.57</v>
      </c>
      <c r="O262" s="6">
        <v>20.66</v>
      </c>
      <c r="P262" s="6">
        <v>1.85</v>
      </c>
      <c r="Q262" t="s">
        <v>64</v>
      </c>
      <c r="R262" t="s">
        <v>65</v>
      </c>
      <c r="S262" t="s">
        <v>65</v>
      </c>
      <c r="T262" t="s">
        <v>66</v>
      </c>
      <c r="U262" t="s">
        <v>67</v>
      </c>
    </row>
    <row r="263" spans="1:21">
      <c r="A263">
        <v>2021</v>
      </c>
      <c r="B263">
        <v>10</v>
      </c>
      <c r="C263" t="s">
        <v>84</v>
      </c>
      <c r="D263" t="s">
        <v>341</v>
      </c>
      <c r="E263" s="7">
        <v>5458</v>
      </c>
      <c r="F263" s="7">
        <v>22</v>
      </c>
      <c r="G263" s="6">
        <v>26.94</v>
      </c>
      <c r="H263" s="6">
        <v>18.420000000000002</v>
      </c>
      <c r="I263" s="6">
        <v>33.15</v>
      </c>
      <c r="J263" s="6">
        <v>84.29</v>
      </c>
      <c r="K263" s="6">
        <v>6.58</v>
      </c>
      <c r="L263" s="6">
        <v>204.02</v>
      </c>
      <c r="M263" s="6">
        <v>100.77</v>
      </c>
      <c r="N263" s="6">
        <v>8.9</v>
      </c>
      <c r="O263" s="6">
        <v>18.72</v>
      </c>
      <c r="P263" s="6">
        <v>1.49</v>
      </c>
      <c r="Q263" t="s">
        <v>64</v>
      </c>
      <c r="R263" t="s">
        <v>65</v>
      </c>
      <c r="S263" t="s">
        <v>65</v>
      </c>
      <c r="T263" t="s">
        <v>66</v>
      </c>
      <c r="U263" t="s">
        <v>67</v>
      </c>
    </row>
    <row r="264" spans="1:21">
      <c r="A264">
        <v>2021</v>
      </c>
      <c r="B264">
        <v>11</v>
      </c>
      <c r="C264" t="s">
        <v>86</v>
      </c>
      <c r="D264" t="s">
        <v>342</v>
      </c>
      <c r="E264" s="7">
        <v>3567</v>
      </c>
      <c r="F264" s="7">
        <v>7</v>
      </c>
      <c r="G264" s="6">
        <v>21.72</v>
      </c>
      <c r="H264" s="6">
        <v>12.77</v>
      </c>
      <c r="I264" s="6">
        <v>28.12</v>
      </c>
      <c r="J264" s="6">
        <v>81.239999999999995</v>
      </c>
      <c r="K264" s="6">
        <v>0.83</v>
      </c>
      <c r="L264" s="6">
        <v>24.95</v>
      </c>
      <c r="M264" s="6">
        <v>101.17</v>
      </c>
      <c r="N264" s="6">
        <v>6.75</v>
      </c>
      <c r="O264" s="6">
        <v>13.05</v>
      </c>
      <c r="P264" s="6">
        <v>1.36</v>
      </c>
      <c r="Q264" t="s">
        <v>64</v>
      </c>
      <c r="R264" t="s">
        <v>65</v>
      </c>
      <c r="S264" t="s">
        <v>65</v>
      </c>
      <c r="T264" t="s">
        <v>66</v>
      </c>
      <c r="U264" t="s">
        <v>67</v>
      </c>
    </row>
    <row r="265" spans="1:21">
      <c r="A265">
        <v>2021</v>
      </c>
      <c r="B265">
        <v>12</v>
      </c>
      <c r="C265" t="s">
        <v>88</v>
      </c>
      <c r="D265" t="s">
        <v>343</v>
      </c>
      <c r="E265" s="7">
        <v>1207</v>
      </c>
      <c r="F265" s="7">
        <v>7</v>
      </c>
      <c r="G265" s="6">
        <v>18.72</v>
      </c>
      <c r="H265" s="6">
        <v>8.93</v>
      </c>
      <c r="I265" s="6">
        <v>27.87</v>
      </c>
      <c r="J265" s="6">
        <v>82.74</v>
      </c>
      <c r="K265" s="6">
        <v>4.2300000000000004</v>
      </c>
      <c r="L265" s="6">
        <v>131.02000000000001</v>
      </c>
      <c r="M265" s="6">
        <v>101.52</v>
      </c>
      <c r="N265" s="6">
        <v>9.85</v>
      </c>
      <c r="O265" s="6">
        <v>11.08</v>
      </c>
      <c r="P265" s="6">
        <v>1.56</v>
      </c>
      <c r="Q265" t="s">
        <v>64</v>
      </c>
      <c r="R265" t="s">
        <v>65</v>
      </c>
      <c r="S265" t="s">
        <v>65</v>
      </c>
      <c r="T265" t="s">
        <v>66</v>
      </c>
      <c r="U265" t="s">
        <v>67</v>
      </c>
    </row>
    <row r="266" spans="1:21">
      <c r="A266">
        <v>2022</v>
      </c>
      <c r="B266">
        <v>1</v>
      </c>
      <c r="C266" t="s">
        <v>62</v>
      </c>
      <c r="D266" t="s">
        <v>344</v>
      </c>
      <c r="E266" s="7">
        <v>126</v>
      </c>
      <c r="F266" s="7">
        <v>0</v>
      </c>
      <c r="G266" s="6">
        <v>17.48</v>
      </c>
      <c r="H266" s="6">
        <v>9.31</v>
      </c>
      <c r="I266" s="6">
        <v>24.75</v>
      </c>
      <c r="J266" s="6">
        <v>79.33</v>
      </c>
      <c r="K266" s="6">
        <v>0.74</v>
      </c>
      <c r="L266" s="6">
        <v>22.81</v>
      </c>
      <c r="M266" s="6">
        <v>101.4</v>
      </c>
      <c r="N266" s="6">
        <v>7.93</v>
      </c>
      <c r="O266" s="6">
        <v>9.7100000000000009</v>
      </c>
      <c r="P266" s="6">
        <v>1.46</v>
      </c>
      <c r="Q266" t="s">
        <v>345</v>
      </c>
      <c r="R266" t="s">
        <v>346</v>
      </c>
      <c r="S266" t="s">
        <v>346</v>
      </c>
      <c r="T266" t="s">
        <v>66</v>
      </c>
      <c r="U266" t="s">
        <v>67</v>
      </c>
    </row>
    <row r="267" spans="1:21">
      <c r="A267">
        <v>2022</v>
      </c>
      <c r="B267">
        <v>2</v>
      </c>
      <c r="C267" t="s">
        <v>68</v>
      </c>
      <c r="D267" t="s">
        <v>347</v>
      </c>
      <c r="E267" s="7">
        <v>20</v>
      </c>
      <c r="F267" s="7">
        <v>0</v>
      </c>
      <c r="G267" s="6">
        <v>19.13</v>
      </c>
      <c r="H267" s="6">
        <v>9.3800000000000008</v>
      </c>
      <c r="I267" s="6">
        <v>29.43</v>
      </c>
      <c r="J267" s="6">
        <v>68.69</v>
      </c>
      <c r="K267" s="6">
        <v>1.99</v>
      </c>
      <c r="L267" s="6">
        <v>55.65</v>
      </c>
      <c r="M267" s="6">
        <v>101.27</v>
      </c>
      <c r="N267" s="6">
        <v>9.06</v>
      </c>
      <c r="O267" s="6">
        <v>9.23</v>
      </c>
      <c r="P267" s="6">
        <v>1.54</v>
      </c>
      <c r="Q267" t="s">
        <v>345</v>
      </c>
      <c r="R267" t="s">
        <v>346</v>
      </c>
      <c r="S267" t="s">
        <v>346</v>
      </c>
      <c r="T267" t="s">
        <v>66</v>
      </c>
      <c r="U267" t="s">
        <v>67</v>
      </c>
    </row>
    <row r="268" spans="1:21">
      <c r="A268">
        <v>2022</v>
      </c>
      <c r="B268">
        <v>3</v>
      </c>
      <c r="C268" t="s">
        <v>70</v>
      </c>
      <c r="D268" t="s">
        <v>348</v>
      </c>
      <c r="E268" s="7">
        <v>20</v>
      </c>
      <c r="F268" s="7">
        <v>0</v>
      </c>
      <c r="G268" s="6">
        <v>26.3</v>
      </c>
      <c r="H268" s="6">
        <v>15.89</v>
      </c>
      <c r="I268" s="6">
        <v>37.159999999999997</v>
      </c>
      <c r="J268" s="6">
        <v>58.3</v>
      </c>
      <c r="K268" s="6">
        <v>0.36</v>
      </c>
      <c r="L268" s="6">
        <v>11.27</v>
      </c>
      <c r="M268" s="6">
        <v>100.83</v>
      </c>
      <c r="N268" s="6">
        <v>11.26</v>
      </c>
      <c r="O268" s="6">
        <v>11.92</v>
      </c>
      <c r="P268" s="6">
        <v>2.02</v>
      </c>
      <c r="Q268" t="s">
        <v>345</v>
      </c>
      <c r="R268" t="s">
        <v>346</v>
      </c>
      <c r="S268" t="s">
        <v>346</v>
      </c>
      <c r="T268" t="s">
        <v>66</v>
      </c>
      <c r="U268" t="s">
        <v>67</v>
      </c>
    </row>
    <row r="269" spans="1:21">
      <c r="A269">
        <v>2022</v>
      </c>
      <c r="B269">
        <v>4</v>
      </c>
      <c r="C269" t="s">
        <v>72</v>
      </c>
      <c r="D269" t="s">
        <v>349</v>
      </c>
      <c r="E269" s="7">
        <v>23</v>
      </c>
      <c r="F269" s="7">
        <v>0</v>
      </c>
      <c r="G269" s="6">
        <v>30.4</v>
      </c>
      <c r="H269" s="6">
        <v>22.98</v>
      </c>
      <c r="I269" s="6">
        <v>40.07</v>
      </c>
      <c r="J269" s="6">
        <v>66</v>
      </c>
      <c r="K269" s="6">
        <v>2.95</v>
      </c>
      <c r="L269" s="6">
        <v>88.41</v>
      </c>
      <c r="M269" s="6">
        <v>100.61</v>
      </c>
      <c r="N269" s="6">
        <v>12.24</v>
      </c>
      <c r="O269" s="6">
        <v>16.93</v>
      </c>
      <c r="P269" s="6">
        <v>3.32</v>
      </c>
      <c r="Q269" t="s">
        <v>345</v>
      </c>
      <c r="R269" t="s">
        <v>346</v>
      </c>
      <c r="S269" t="s">
        <v>346</v>
      </c>
      <c r="T269" t="s">
        <v>66</v>
      </c>
      <c r="U269" t="s">
        <v>67</v>
      </c>
    </row>
    <row r="270" spans="1:21">
      <c r="A270">
        <v>2022</v>
      </c>
      <c r="B270">
        <v>5</v>
      </c>
      <c r="C270" t="s">
        <v>74</v>
      </c>
      <c r="D270" t="s">
        <v>350</v>
      </c>
      <c r="E270" s="7">
        <v>163</v>
      </c>
      <c r="F270" s="7">
        <v>0</v>
      </c>
      <c r="G270" s="6">
        <v>29.09</v>
      </c>
      <c r="H270" s="6">
        <v>24.35</v>
      </c>
      <c r="I270" s="6">
        <v>38.270000000000003</v>
      </c>
      <c r="J270" s="6">
        <v>79.31</v>
      </c>
      <c r="K270" s="6">
        <v>13.88</v>
      </c>
      <c r="L270" s="6">
        <v>430.2</v>
      </c>
      <c r="M270" s="6">
        <v>100.29</v>
      </c>
      <c r="N270" s="6">
        <v>10.56</v>
      </c>
      <c r="O270" s="6">
        <v>19.62</v>
      </c>
      <c r="P270" s="6">
        <v>2.58</v>
      </c>
      <c r="Q270" t="s">
        <v>345</v>
      </c>
      <c r="R270" t="s">
        <v>346</v>
      </c>
      <c r="S270" t="s">
        <v>346</v>
      </c>
      <c r="T270" t="s">
        <v>66</v>
      </c>
      <c r="U270" t="s">
        <v>67</v>
      </c>
    </row>
    <row r="271" spans="1:21">
      <c r="A271">
        <v>2022</v>
      </c>
      <c r="B271">
        <v>6</v>
      </c>
      <c r="C271" t="s">
        <v>76</v>
      </c>
      <c r="D271" t="s">
        <v>351</v>
      </c>
      <c r="E271" s="7">
        <v>737</v>
      </c>
      <c r="F271" s="7">
        <v>1</v>
      </c>
      <c r="G271" s="6">
        <v>28.15</v>
      </c>
      <c r="H271" s="6">
        <v>25.04</v>
      </c>
      <c r="I271" s="6">
        <v>32.56</v>
      </c>
      <c r="J271" s="6">
        <v>89.28</v>
      </c>
      <c r="K271" s="6">
        <v>12.25</v>
      </c>
      <c r="L271" s="6">
        <v>367.47</v>
      </c>
      <c r="M271" s="6">
        <v>100.23</v>
      </c>
      <c r="N271" s="6">
        <v>10.56</v>
      </c>
      <c r="O271" s="6">
        <v>21.31</v>
      </c>
      <c r="P271" s="6">
        <v>3.16</v>
      </c>
      <c r="Q271" t="s">
        <v>345</v>
      </c>
      <c r="R271" t="s">
        <v>346</v>
      </c>
      <c r="S271" t="s">
        <v>346</v>
      </c>
      <c r="T271" t="s">
        <v>66</v>
      </c>
      <c r="U271" t="s">
        <v>67</v>
      </c>
    </row>
    <row r="272" spans="1:21">
      <c r="A272">
        <v>2022</v>
      </c>
      <c r="B272">
        <v>7</v>
      </c>
      <c r="C272" t="s">
        <v>78</v>
      </c>
      <c r="D272" t="s">
        <v>352</v>
      </c>
      <c r="E272" s="7">
        <v>1571</v>
      </c>
      <c r="F272" s="7">
        <v>9</v>
      </c>
      <c r="G272" s="6">
        <v>28.45</v>
      </c>
      <c r="H272" s="6">
        <v>25.15</v>
      </c>
      <c r="I272" s="6">
        <v>32.71</v>
      </c>
      <c r="J272" s="6">
        <v>87.49</v>
      </c>
      <c r="K272" s="6">
        <v>5.35</v>
      </c>
      <c r="L272" s="6">
        <v>165.85</v>
      </c>
      <c r="M272" s="6">
        <v>100.22</v>
      </c>
      <c r="N272" s="6">
        <v>9.42</v>
      </c>
      <c r="O272" s="6">
        <v>21.24</v>
      </c>
      <c r="P272" s="6">
        <v>2.64</v>
      </c>
      <c r="Q272" t="s">
        <v>345</v>
      </c>
      <c r="R272" t="s">
        <v>346</v>
      </c>
      <c r="S272" t="s">
        <v>346</v>
      </c>
      <c r="T272" t="s">
        <v>66</v>
      </c>
      <c r="U272" t="s">
        <v>67</v>
      </c>
    </row>
    <row r="273" spans="1:21">
      <c r="A273">
        <v>2022</v>
      </c>
      <c r="B273">
        <v>8</v>
      </c>
      <c r="C273" t="s">
        <v>80</v>
      </c>
      <c r="D273" t="s">
        <v>353</v>
      </c>
      <c r="E273" s="7">
        <v>3521</v>
      </c>
      <c r="F273" s="7">
        <v>11</v>
      </c>
      <c r="G273" s="6">
        <v>28.5</v>
      </c>
      <c r="H273" s="6">
        <v>24.89</v>
      </c>
      <c r="I273" s="6">
        <v>33.03</v>
      </c>
      <c r="J273" s="6">
        <v>87.24</v>
      </c>
      <c r="K273" s="6">
        <v>8.44</v>
      </c>
      <c r="L273" s="6">
        <v>261.66000000000003</v>
      </c>
      <c r="M273" s="6">
        <v>100.2</v>
      </c>
      <c r="N273" s="6">
        <v>13.84</v>
      </c>
      <c r="O273" s="6">
        <v>21.23</v>
      </c>
      <c r="P273" s="6">
        <v>2.5099999999999998</v>
      </c>
      <c r="Q273" t="s">
        <v>345</v>
      </c>
      <c r="R273" t="s">
        <v>346</v>
      </c>
      <c r="S273" t="s">
        <v>346</v>
      </c>
      <c r="T273" t="s">
        <v>66</v>
      </c>
      <c r="U273" t="s">
        <v>67</v>
      </c>
    </row>
    <row r="274" spans="1:21">
      <c r="A274">
        <v>2022</v>
      </c>
      <c r="B274">
        <v>9</v>
      </c>
      <c r="C274" t="s">
        <v>82</v>
      </c>
      <c r="D274" t="s">
        <v>354</v>
      </c>
      <c r="E274" s="7">
        <v>9911</v>
      </c>
      <c r="F274" s="7">
        <v>34</v>
      </c>
      <c r="G274" s="6">
        <v>28.09</v>
      </c>
      <c r="H274" s="6">
        <v>24.7</v>
      </c>
      <c r="I274" s="6">
        <v>33.01</v>
      </c>
      <c r="J274" s="6">
        <v>87.93</v>
      </c>
      <c r="K274" s="6">
        <v>10.9</v>
      </c>
      <c r="L274" s="6">
        <v>326.97000000000003</v>
      </c>
      <c r="M274" s="6">
        <v>100.5</v>
      </c>
      <c r="N274" s="6">
        <v>9.4499999999999993</v>
      </c>
      <c r="O274" s="6">
        <v>20.84</v>
      </c>
      <c r="P274" s="6">
        <v>2</v>
      </c>
      <c r="Q274" t="s">
        <v>345</v>
      </c>
      <c r="R274" t="s">
        <v>346</v>
      </c>
      <c r="S274" t="s">
        <v>346</v>
      </c>
      <c r="T274" t="s">
        <v>66</v>
      </c>
      <c r="U274" t="s">
        <v>67</v>
      </c>
    </row>
    <row r="275" spans="1:21">
      <c r="A275">
        <v>2022</v>
      </c>
      <c r="B275">
        <v>10</v>
      </c>
      <c r="C275" t="s">
        <v>84</v>
      </c>
      <c r="D275" t="s">
        <v>355</v>
      </c>
      <c r="E275" s="7">
        <v>21932</v>
      </c>
      <c r="F275" s="7">
        <v>86</v>
      </c>
      <c r="G275" s="6">
        <v>26.41</v>
      </c>
      <c r="H275" s="6">
        <v>18.760000000000002</v>
      </c>
      <c r="I275" s="6">
        <v>31.82</v>
      </c>
      <c r="J275" s="6">
        <v>85.41</v>
      </c>
      <c r="K275" s="6">
        <v>12.64</v>
      </c>
      <c r="L275" s="6">
        <v>391.92</v>
      </c>
      <c r="M275" s="6">
        <v>100.93</v>
      </c>
      <c r="N275" s="6">
        <v>12.09</v>
      </c>
      <c r="O275" s="6">
        <v>18.309999999999999</v>
      </c>
      <c r="P275" s="6">
        <v>1.61</v>
      </c>
      <c r="Q275" t="s">
        <v>345</v>
      </c>
      <c r="R275" t="s">
        <v>346</v>
      </c>
      <c r="S275" t="s">
        <v>346</v>
      </c>
      <c r="T275" t="s">
        <v>66</v>
      </c>
      <c r="U275" t="s">
        <v>67</v>
      </c>
    </row>
    <row r="276" spans="1:21">
      <c r="A276">
        <v>2022</v>
      </c>
      <c r="B276">
        <v>11</v>
      </c>
      <c r="C276" t="s">
        <v>86</v>
      </c>
      <c r="D276" t="s">
        <v>356</v>
      </c>
      <c r="E276" s="7">
        <v>19334</v>
      </c>
      <c r="F276" s="7">
        <v>113</v>
      </c>
      <c r="G276" s="6">
        <v>22.65</v>
      </c>
      <c r="H276" s="6">
        <v>14.79</v>
      </c>
      <c r="I276" s="6">
        <v>30.15</v>
      </c>
      <c r="J276" s="6">
        <v>78.48</v>
      </c>
      <c r="K276" s="6">
        <v>0.38</v>
      </c>
      <c r="L276" s="6">
        <v>11.48</v>
      </c>
      <c r="M276" s="6">
        <v>101.18</v>
      </c>
      <c r="N276" s="6">
        <v>5.43</v>
      </c>
      <c r="O276" s="6">
        <v>13.27</v>
      </c>
      <c r="P276" s="6">
        <v>1.29</v>
      </c>
      <c r="Q276" t="s">
        <v>345</v>
      </c>
      <c r="R276" t="s">
        <v>346</v>
      </c>
      <c r="S276" t="s">
        <v>346</v>
      </c>
      <c r="T276" t="s">
        <v>66</v>
      </c>
      <c r="U276" t="s">
        <v>67</v>
      </c>
    </row>
    <row r="277" spans="1:21">
      <c r="A277">
        <v>2022</v>
      </c>
      <c r="B277">
        <v>12</v>
      </c>
      <c r="C277" t="s">
        <v>88</v>
      </c>
      <c r="D277" t="s">
        <v>357</v>
      </c>
      <c r="E277" s="7">
        <v>5024</v>
      </c>
      <c r="F277" s="7">
        <v>27</v>
      </c>
      <c r="G277" s="6">
        <v>19.32</v>
      </c>
      <c r="H277" s="6">
        <v>10.49</v>
      </c>
      <c r="I277" s="6">
        <v>27.04</v>
      </c>
      <c r="J277" s="6">
        <v>77.05</v>
      </c>
      <c r="K277" s="6">
        <v>0.21</v>
      </c>
      <c r="L277" s="6">
        <v>6.53</v>
      </c>
      <c r="M277" s="6">
        <v>101.29</v>
      </c>
      <c r="N277" s="6">
        <v>7.48</v>
      </c>
      <c r="O277" s="6">
        <v>10.59</v>
      </c>
      <c r="P277" s="6">
        <v>1.31</v>
      </c>
      <c r="Q277" t="s">
        <v>345</v>
      </c>
      <c r="R277" t="s">
        <v>346</v>
      </c>
      <c r="S277" t="s">
        <v>346</v>
      </c>
      <c r="T277" t="s">
        <v>66</v>
      </c>
      <c r="U277" t="s">
        <v>67</v>
      </c>
    </row>
    <row r="278" spans="1:21">
      <c r="A278">
        <v>2023</v>
      </c>
      <c r="B278">
        <v>1</v>
      </c>
      <c r="C278" t="s">
        <v>62</v>
      </c>
      <c r="D278" t="s">
        <v>358</v>
      </c>
      <c r="E278" s="7">
        <v>566</v>
      </c>
      <c r="F278" s="7">
        <v>6</v>
      </c>
      <c r="G278" s="6">
        <v>18</v>
      </c>
      <c r="H278" s="6">
        <v>9.5299999999999994</v>
      </c>
      <c r="I278" s="6">
        <v>28.25</v>
      </c>
      <c r="J278" s="6">
        <v>72.319999999999993</v>
      </c>
      <c r="K278" s="6">
        <v>0.23</v>
      </c>
      <c r="L278" s="6">
        <v>6.99</v>
      </c>
      <c r="M278" s="6">
        <v>101.47</v>
      </c>
      <c r="N278" s="6">
        <v>7.4</v>
      </c>
      <c r="O278" s="6">
        <v>9.01</v>
      </c>
      <c r="P278" s="6">
        <v>1.52</v>
      </c>
      <c r="Q278" t="s">
        <v>359</v>
      </c>
      <c r="R278" t="s">
        <v>360</v>
      </c>
      <c r="S278" t="s">
        <v>360</v>
      </c>
      <c r="T278" t="s">
        <v>66</v>
      </c>
      <c r="U278" t="s">
        <v>67</v>
      </c>
    </row>
    <row r="279" spans="1:21">
      <c r="A279">
        <v>2023</v>
      </c>
      <c r="B279">
        <v>2</v>
      </c>
      <c r="C279" t="s">
        <v>68</v>
      </c>
      <c r="D279" t="s">
        <v>361</v>
      </c>
      <c r="E279" s="7">
        <v>166</v>
      </c>
      <c r="F279" s="7">
        <v>3</v>
      </c>
      <c r="G279" s="6">
        <v>22.23</v>
      </c>
      <c r="H279" s="6">
        <v>11.59</v>
      </c>
      <c r="I279" s="6">
        <v>32.82</v>
      </c>
      <c r="J279" s="6">
        <v>58.24</v>
      </c>
      <c r="K279" s="6">
        <v>0.05</v>
      </c>
      <c r="L279" s="6">
        <v>1.37</v>
      </c>
      <c r="M279" s="6">
        <v>101.25</v>
      </c>
      <c r="N279" s="6">
        <v>9.67</v>
      </c>
      <c r="O279" s="6">
        <v>9.3000000000000007</v>
      </c>
      <c r="P279" s="6">
        <v>1.63</v>
      </c>
      <c r="Q279" t="s">
        <v>359</v>
      </c>
      <c r="R279" t="s">
        <v>360</v>
      </c>
      <c r="S279" t="s">
        <v>360</v>
      </c>
      <c r="T279" t="s">
        <v>66</v>
      </c>
      <c r="U279" t="s">
        <v>67</v>
      </c>
    </row>
    <row r="280" spans="1:21">
      <c r="A280">
        <v>2023</v>
      </c>
      <c r="B280">
        <v>3</v>
      </c>
      <c r="C280" t="s">
        <v>70</v>
      </c>
      <c r="D280" t="s">
        <v>362</v>
      </c>
      <c r="E280" s="7">
        <v>111</v>
      </c>
      <c r="F280" s="7">
        <v>0</v>
      </c>
      <c r="G280" s="6">
        <v>26.27</v>
      </c>
      <c r="H280" s="6">
        <v>16.670000000000002</v>
      </c>
      <c r="I280" s="6">
        <v>35.409999999999997</v>
      </c>
      <c r="J280" s="6">
        <v>59.23</v>
      </c>
      <c r="K280" s="6">
        <v>4.84</v>
      </c>
      <c r="L280" s="6">
        <v>149.93</v>
      </c>
      <c r="M280" s="6">
        <v>101.1</v>
      </c>
      <c r="N280" s="6">
        <v>8.59</v>
      </c>
      <c r="O280" s="6">
        <v>11.9</v>
      </c>
      <c r="P280" s="6">
        <v>1.72</v>
      </c>
      <c r="Q280" t="s">
        <v>359</v>
      </c>
      <c r="R280" t="s">
        <v>360</v>
      </c>
      <c r="S280" t="s">
        <v>360</v>
      </c>
      <c r="T280" t="s">
        <v>66</v>
      </c>
      <c r="U280" t="s">
        <v>67</v>
      </c>
    </row>
    <row r="281" spans="1:21">
      <c r="A281">
        <v>2023</v>
      </c>
      <c r="B281">
        <v>4</v>
      </c>
      <c r="C281" t="s">
        <v>72</v>
      </c>
      <c r="D281" t="s">
        <v>363</v>
      </c>
      <c r="E281" s="7">
        <v>143</v>
      </c>
      <c r="F281" s="7">
        <v>2</v>
      </c>
      <c r="G281" s="6">
        <v>29.11</v>
      </c>
      <c r="H281" s="6">
        <v>20.84</v>
      </c>
      <c r="I281" s="6">
        <v>38.61</v>
      </c>
      <c r="J281" s="6">
        <v>65.400000000000006</v>
      </c>
      <c r="K281" s="6">
        <v>3.7</v>
      </c>
      <c r="L281" s="6">
        <v>111.09</v>
      </c>
      <c r="M281" s="6">
        <v>100.71</v>
      </c>
      <c r="N281" s="6">
        <v>9.34</v>
      </c>
      <c r="O281" s="6">
        <v>15.6</v>
      </c>
      <c r="P281" s="6">
        <v>1.72</v>
      </c>
      <c r="Q281" t="s">
        <v>359</v>
      </c>
      <c r="R281" t="s">
        <v>360</v>
      </c>
      <c r="S281" t="s">
        <v>360</v>
      </c>
      <c r="T281" t="s">
        <v>66</v>
      </c>
      <c r="U281" t="s">
        <v>67</v>
      </c>
    </row>
    <row r="282" spans="1:21">
      <c r="A282">
        <v>2023</v>
      </c>
      <c r="B282">
        <v>5</v>
      </c>
      <c r="C282" t="s">
        <v>74</v>
      </c>
      <c r="D282" t="s">
        <v>364</v>
      </c>
      <c r="E282" s="7">
        <v>1036</v>
      </c>
      <c r="F282" s="7">
        <v>2</v>
      </c>
      <c r="G282" s="6">
        <v>29.47</v>
      </c>
      <c r="H282" s="6">
        <v>23.55</v>
      </c>
      <c r="I282" s="6">
        <v>39.130000000000003</v>
      </c>
      <c r="J282" s="6">
        <v>73.010000000000005</v>
      </c>
      <c r="K282" s="6">
        <v>9.2799999999999994</v>
      </c>
      <c r="L282" s="6">
        <v>287.60000000000002</v>
      </c>
      <c r="M282" s="6">
        <v>100.57</v>
      </c>
      <c r="N282" s="6">
        <v>11.91</v>
      </c>
      <c r="O282" s="6">
        <v>18.239999999999998</v>
      </c>
      <c r="P282" s="6">
        <v>2.0099999999999998</v>
      </c>
      <c r="Q282" t="s">
        <v>359</v>
      </c>
      <c r="R282" t="s">
        <v>360</v>
      </c>
      <c r="S282" t="s">
        <v>360</v>
      </c>
      <c r="T282" t="s">
        <v>66</v>
      </c>
      <c r="U282" t="s">
        <v>67</v>
      </c>
    </row>
    <row r="283" spans="1:21">
      <c r="A283">
        <v>2023</v>
      </c>
      <c r="B283">
        <v>6</v>
      </c>
      <c r="C283" t="s">
        <v>76</v>
      </c>
      <c r="D283" t="s">
        <v>365</v>
      </c>
      <c r="E283" s="7">
        <v>5956</v>
      </c>
      <c r="F283" s="7">
        <v>34</v>
      </c>
      <c r="G283" s="6">
        <v>29.05</v>
      </c>
      <c r="H283" s="6">
        <v>25.4</v>
      </c>
      <c r="I283" s="6">
        <v>34.83</v>
      </c>
      <c r="J283" s="6">
        <v>86.7</v>
      </c>
      <c r="K283" s="6">
        <v>14.6</v>
      </c>
      <c r="L283" s="6">
        <v>437.99</v>
      </c>
      <c r="M283" s="6">
        <v>100.17</v>
      </c>
      <c r="N283" s="6">
        <v>11.29</v>
      </c>
      <c r="O283" s="6">
        <v>21.76</v>
      </c>
      <c r="P283" s="6">
        <v>2.92</v>
      </c>
      <c r="Q283" t="s">
        <v>359</v>
      </c>
      <c r="R283" t="s">
        <v>360</v>
      </c>
      <c r="S283" t="s">
        <v>360</v>
      </c>
      <c r="T283" t="s">
        <v>66</v>
      </c>
      <c r="U283" t="s">
        <v>67</v>
      </c>
    </row>
    <row r="284" spans="1:21">
      <c r="A284">
        <v>2023</v>
      </c>
      <c r="B284">
        <v>7</v>
      </c>
      <c r="C284" t="s">
        <v>78</v>
      </c>
      <c r="D284" t="s">
        <v>366</v>
      </c>
      <c r="E284" s="7">
        <v>43854</v>
      </c>
      <c r="F284" s="7">
        <v>204</v>
      </c>
      <c r="G284" s="6">
        <v>28.99</v>
      </c>
      <c r="H284" s="6">
        <v>25.84</v>
      </c>
      <c r="I284" s="6">
        <v>34.29</v>
      </c>
      <c r="J284" s="6">
        <v>88.43</v>
      </c>
      <c r="K284" s="6">
        <v>7.1</v>
      </c>
      <c r="L284" s="6">
        <v>220.12</v>
      </c>
      <c r="M284" s="6">
        <v>100.21</v>
      </c>
      <c r="N284" s="6">
        <v>11.54</v>
      </c>
      <c r="O284" s="6">
        <v>22.17</v>
      </c>
      <c r="P284" s="6">
        <v>2.66</v>
      </c>
      <c r="Q284" t="s">
        <v>359</v>
      </c>
      <c r="R284" t="s">
        <v>360</v>
      </c>
      <c r="S284" t="s">
        <v>360</v>
      </c>
      <c r="T284" t="s">
        <v>66</v>
      </c>
      <c r="U284" t="s">
        <v>67</v>
      </c>
    </row>
    <row r="285" spans="1:21">
      <c r="A285">
        <v>2023</v>
      </c>
      <c r="B285">
        <v>8</v>
      </c>
      <c r="C285" t="s">
        <v>80</v>
      </c>
      <c r="D285" t="s">
        <v>367</v>
      </c>
      <c r="E285" s="7">
        <v>71976</v>
      </c>
      <c r="F285" s="7">
        <v>342</v>
      </c>
      <c r="G285" s="6">
        <v>28.61</v>
      </c>
      <c r="H285" s="6">
        <v>25.06</v>
      </c>
      <c r="I285" s="6">
        <v>33.700000000000003</v>
      </c>
      <c r="J285" s="6">
        <v>88.86</v>
      </c>
      <c r="K285" s="6">
        <v>17.53</v>
      </c>
      <c r="L285" s="6">
        <v>543.46</v>
      </c>
      <c r="M285" s="6">
        <v>100.17</v>
      </c>
      <c r="N285" s="6">
        <v>14.9</v>
      </c>
      <c r="O285" s="6">
        <v>21.81</v>
      </c>
      <c r="P285" s="6">
        <v>2.48</v>
      </c>
      <c r="Q285" t="s">
        <v>359</v>
      </c>
      <c r="R285" t="s">
        <v>360</v>
      </c>
      <c r="S285" t="s">
        <v>360</v>
      </c>
      <c r="T285" t="s">
        <v>66</v>
      </c>
      <c r="U285" t="s">
        <v>67</v>
      </c>
    </row>
    <row r="286" spans="1:21">
      <c r="A286">
        <v>2023</v>
      </c>
      <c r="B286">
        <v>9</v>
      </c>
      <c r="C286" t="s">
        <v>82</v>
      </c>
      <c r="D286" t="s">
        <v>368</v>
      </c>
      <c r="E286" s="7">
        <v>79598</v>
      </c>
      <c r="F286" s="7">
        <v>396</v>
      </c>
      <c r="G286" s="6">
        <v>28.45</v>
      </c>
      <c r="H286" s="6">
        <v>25.07</v>
      </c>
      <c r="I286" s="6">
        <v>33.22</v>
      </c>
      <c r="J286" s="6">
        <v>88.78</v>
      </c>
      <c r="K286" s="6">
        <v>11.47</v>
      </c>
      <c r="L286" s="6">
        <v>344.09</v>
      </c>
      <c r="M286" s="6">
        <v>100.39</v>
      </c>
      <c r="N286" s="6">
        <v>9.42</v>
      </c>
      <c r="O286" s="6">
        <v>21.54</v>
      </c>
      <c r="P286" s="6">
        <v>1.95</v>
      </c>
      <c r="Q286" t="s">
        <v>359</v>
      </c>
      <c r="R286" t="s">
        <v>360</v>
      </c>
      <c r="S286" t="s">
        <v>360</v>
      </c>
      <c r="T286" t="s">
        <v>66</v>
      </c>
      <c r="U286" t="s">
        <v>67</v>
      </c>
    </row>
    <row r="287" spans="1:21">
      <c r="A287">
        <v>2023</v>
      </c>
      <c r="B287">
        <v>10</v>
      </c>
      <c r="C287" t="s">
        <v>84</v>
      </c>
      <c r="D287" t="s">
        <v>369</v>
      </c>
      <c r="E287" s="7">
        <v>67769</v>
      </c>
      <c r="F287" s="7">
        <v>359</v>
      </c>
      <c r="G287" s="6">
        <v>26.73</v>
      </c>
      <c r="H287" s="6">
        <v>18.63</v>
      </c>
      <c r="I287" s="6">
        <v>31.99</v>
      </c>
      <c r="J287" s="6">
        <v>82.21</v>
      </c>
      <c r="K287" s="6">
        <v>7.66</v>
      </c>
      <c r="L287" s="6">
        <v>237.34</v>
      </c>
      <c r="M287" s="6">
        <v>100.98</v>
      </c>
      <c r="N287" s="6">
        <v>9.09</v>
      </c>
      <c r="O287" s="6">
        <v>17.95</v>
      </c>
      <c r="P287" s="6">
        <v>1.62</v>
      </c>
      <c r="Q287" t="s">
        <v>359</v>
      </c>
      <c r="R287" t="s">
        <v>360</v>
      </c>
      <c r="S287" t="s">
        <v>360</v>
      </c>
      <c r="T287" t="s">
        <v>66</v>
      </c>
      <c r="U287" t="s">
        <v>67</v>
      </c>
    </row>
    <row r="288" spans="1:21">
      <c r="A288">
        <v>2023</v>
      </c>
      <c r="B288">
        <v>11</v>
      </c>
      <c r="C288" t="s">
        <v>86</v>
      </c>
      <c r="D288" t="s">
        <v>370</v>
      </c>
      <c r="E288" s="7">
        <v>40716</v>
      </c>
      <c r="F288" s="7">
        <v>274</v>
      </c>
      <c r="G288" s="6">
        <v>23.23</v>
      </c>
      <c r="H288" s="6">
        <v>16.11</v>
      </c>
      <c r="I288" s="6">
        <v>30.17</v>
      </c>
      <c r="J288" s="6">
        <v>80.39</v>
      </c>
      <c r="K288" s="6">
        <v>5.05</v>
      </c>
      <c r="L288" s="6">
        <v>151.41999999999999</v>
      </c>
      <c r="M288" s="6">
        <v>101.34</v>
      </c>
      <c r="N288" s="6">
        <v>8.66</v>
      </c>
      <c r="O288" s="6">
        <v>14.08</v>
      </c>
      <c r="P288" s="6">
        <v>1.38</v>
      </c>
      <c r="Q288" t="s">
        <v>359</v>
      </c>
      <c r="R288" t="s">
        <v>360</v>
      </c>
      <c r="S288" t="s">
        <v>360</v>
      </c>
      <c r="T288" t="s">
        <v>66</v>
      </c>
      <c r="U288" t="s">
        <v>67</v>
      </c>
    </row>
    <row r="289" spans="1:21">
      <c r="A289">
        <v>2023</v>
      </c>
      <c r="B289">
        <v>12</v>
      </c>
      <c r="C289" t="s">
        <v>88</v>
      </c>
      <c r="D289" t="s">
        <v>371</v>
      </c>
      <c r="E289" s="7">
        <v>9288</v>
      </c>
      <c r="F289" s="7">
        <v>81</v>
      </c>
      <c r="G289" s="6">
        <v>19.62</v>
      </c>
      <c r="H289" s="6">
        <v>11.44</v>
      </c>
      <c r="I289" s="6">
        <v>27.7</v>
      </c>
      <c r="J289" s="6">
        <v>80.680000000000007</v>
      </c>
      <c r="K289" s="6">
        <v>1.82</v>
      </c>
      <c r="L289" s="6">
        <v>56.48</v>
      </c>
      <c r="M289" s="6">
        <v>101.47</v>
      </c>
      <c r="N289" s="6">
        <v>6.87</v>
      </c>
      <c r="O289" s="6">
        <v>11.34</v>
      </c>
      <c r="P289" s="6">
        <v>1.31</v>
      </c>
      <c r="Q289" t="s">
        <v>359</v>
      </c>
      <c r="R289" t="s">
        <v>360</v>
      </c>
      <c r="S289" t="s">
        <v>360</v>
      </c>
      <c r="T289" t="s">
        <v>66</v>
      </c>
      <c r="U289" t="s">
        <v>67</v>
      </c>
    </row>
    <row r="290" spans="1:21">
      <c r="A290">
        <v>2024</v>
      </c>
      <c r="B290">
        <v>1</v>
      </c>
      <c r="C290" t="s">
        <v>62</v>
      </c>
      <c r="D290" t="s">
        <v>372</v>
      </c>
      <c r="E290" s="7">
        <v>1055</v>
      </c>
      <c r="F290" s="16">
        <v>16</v>
      </c>
      <c r="G290" s="6">
        <v>16.34</v>
      </c>
      <c r="H290" s="6">
        <v>8.31</v>
      </c>
      <c r="I290" s="6">
        <v>24.93</v>
      </c>
      <c r="J290" s="6">
        <v>78.180000000000007</v>
      </c>
      <c r="K290" s="6">
        <v>0.52</v>
      </c>
      <c r="L290" s="6">
        <v>16.059999999999999</v>
      </c>
      <c r="M290" s="6">
        <v>101.59</v>
      </c>
      <c r="N290" s="6">
        <v>7.07</v>
      </c>
      <c r="O290" s="6">
        <v>8.85</v>
      </c>
      <c r="P290" s="6">
        <v>1.51</v>
      </c>
      <c r="Q290" t="s">
        <v>373</v>
      </c>
      <c r="R290" t="s">
        <v>374</v>
      </c>
      <c r="S290" t="s">
        <v>375</v>
      </c>
      <c r="T290" t="s">
        <v>66</v>
      </c>
      <c r="U290" t="s">
        <v>67</v>
      </c>
    </row>
    <row r="291" spans="1:21">
      <c r="A291">
        <v>2024</v>
      </c>
      <c r="B291">
        <v>2</v>
      </c>
      <c r="C291" t="s">
        <v>68</v>
      </c>
      <c r="D291" t="s">
        <v>376</v>
      </c>
      <c r="E291" s="7">
        <v>339</v>
      </c>
      <c r="F291" s="16">
        <v>5</v>
      </c>
      <c r="G291" s="6">
        <v>20.84</v>
      </c>
      <c r="H291" s="6">
        <v>10.3</v>
      </c>
      <c r="I291" s="6">
        <v>31.52</v>
      </c>
      <c r="J291" s="6">
        <v>66.88</v>
      </c>
      <c r="K291" s="6">
        <v>1.45</v>
      </c>
      <c r="L291" s="6">
        <v>42.04</v>
      </c>
      <c r="M291" s="6">
        <v>101.49</v>
      </c>
      <c r="N291" s="6">
        <v>8.77</v>
      </c>
      <c r="O291" s="6">
        <v>9.98</v>
      </c>
      <c r="P291" s="6">
        <v>1.6</v>
      </c>
      <c r="Q291" t="s">
        <v>373</v>
      </c>
      <c r="R291" t="s">
        <v>374</v>
      </c>
      <c r="S291" t="s">
        <v>375</v>
      </c>
      <c r="T291" t="s">
        <v>66</v>
      </c>
      <c r="U291" t="s">
        <v>67</v>
      </c>
    </row>
    <row r="292" spans="1:21">
      <c r="A292">
        <v>2024</v>
      </c>
      <c r="B292">
        <v>3</v>
      </c>
      <c r="C292" t="s">
        <v>70</v>
      </c>
      <c r="D292" t="s">
        <v>377</v>
      </c>
      <c r="E292" s="7">
        <v>311</v>
      </c>
      <c r="F292" s="16">
        <v>6</v>
      </c>
      <c r="G292" s="6">
        <v>25.43</v>
      </c>
      <c r="H292" s="6">
        <v>14.76</v>
      </c>
      <c r="I292" s="6">
        <v>34.61</v>
      </c>
      <c r="J292" s="6">
        <v>62.36</v>
      </c>
      <c r="K292" s="6">
        <v>4.22</v>
      </c>
      <c r="L292" s="6">
        <v>130.93</v>
      </c>
      <c r="M292" s="6">
        <v>101.15</v>
      </c>
      <c r="N292" s="6">
        <v>10.17</v>
      </c>
      <c r="O292" s="6">
        <v>12.32</v>
      </c>
      <c r="P292" s="6">
        <v>1.67</v>
      </c>
      <c r="Q292" t="s">
        <v>373</v>
      </c>
      <c r="R292" t="s">
        <v>374</v>
      </c>
      <c r="S292" t="s">
        <v>375</v>
      </c>
      <c r="T292" t="s">
        <v>66</v>
      </c>
      <c r="U292" t="s">
        <v>67</v>
      </c>
    </row>
    <row r="293" spans="1:21">
      <c r="A293">
        <v>2024</v>
      </c>
      <c r="B293">
        <v>4</v>
      </c>
      <c r="C293" t="s">
        <v>72</v>
      </c>
      <c r="D293" t="s">
        <v>378</v>
      </c>
      <c r="E293" s="7">
        <v>504</v>
      </c>
      <c r="F293" s="16">
        <v>2</v>
      </c>
      <c r="G293" s="6">
        <v>31.04</v>
      </c>
      <c r="H293" s="6">
        <v>22.24</v>
      </c>
      <c r="I293" s="6">
        <v>42.7</v>
      </c>
      <c r="J293" s="6">
        <v>61.15</v>
      </c>
      <c r="K293" s="6">
        <v>1</v>
      </c>
      <c r="L293" s="6">
        <v>30.1</v>
      </c>
      <c r="M293" s="6">
        <v>100.55</v>
      </c>
      <c r="N293" s="6">
        <v>11.15</v>
      </c>
      <c r="O293" s="6">
        <v>16.100000000000001</v>
      </c>
      <c r="P293" s="6">
        <v>2.44</v>
      </c>
      <c r="Q293" t="s">
        <v>373</v>
      </c>
      <c r="R293" t="s">
        <v>374</v>
      </c>
      <c r="S293" t="s">
        <v>375</v>
      </c>
      <c r="T293" t="s">
        <v>66</v>
      </c>
      <c r="U293" t="s">
        <v>67</v>
      </c>
    </row>
    <row r="294" spans="1:21">
      <c r="A294">
        <v>2024</v>
      </c>
      <c r="B294">
        <v>5</v>
      </c>
      <c r="C294" t="s">
        <v>74</v>
      </c>
      <c r="D294" t="s">
        <v>379</v>
      </c>
      <c r="E294" s="7">
        <v>644</v>
      </c>
      <c r="F294" s="16">
        <v>12</v>
      </c>
      <c r="G294" s="6">
        <v>29.81</v>
      </c>
      <c r="H294" s="6">
        <v>22.69</v>
      </c>
      <c r="I294" s="6">
        <v>41.73</v>
      </c>
      <c r="J294" s="6">
        <v>76.849999999999994</v>
      </c>
      <c r="K294" s="6">
        <v>14.74</v>
      </c>
      <c r="L294" s="6">
        <v>457.03</v>
      </c>
      <c r="M294" s="6">
        <v>100.39</v>
      </c>
      <c r="N294" s="6">
        <v>24.36</v>
      </c>
      <c r="O294" s="6">
        <v>19.78</v>
      </c>
      <c r="P294" s="6">
        <v>2.42</v>
      </c>
      <c r="Q294" t="s">
        <v>373</v>
      </c>
      <c r="R294" t="s">
        <v>374</v>
      </c>
      <c r="S294" t="s">
        <v>375</v>
      </c>
      <c r="T294" t="s">
        <v>66</v>
      </c>
      <c r="U294" t="s">
        <v>67</v>
      </c>
    </row>
    <row r="295" spans="1:21">
      <c r="A295">
        <v>2024</v>
      </c>
      <c r="B295">
        <v>6</v>
      </c>
      <c r="C295" t="s">
        <v>76</v>
      </c>
      <c r="D295" t="s">
        <v>380</v>
      </c>
      <c r="E295" s="7">
        <v>798</v>
      </c>
      <c r="F295" s="16">
        <v>8</v>
      </c>
      <c r="G295" s="6">
        <v>29.24</v>
      </c>
      <c r="H295" s="6">
        <v>25.25</v>
      </c>
      <c r="I295" s="6">
        <v>33.4</v>
      </c>
      <c r="J295" s="6">
        <v>88.54</v>
      </c>
      <c r="K295" s="6">
        <v>11.74</v>
      </c>
      <c r="L295" s="6">
        <v>352.31</v>
      </c>
      <c r="M295" s="6">
        <v>100.15</v>
      </c>
      <c r="N295" s="6">
        <v>13.83</v>
      </c>
      <c r="O295" s="6">
        <v>22.54</v>
      </c>
      <c r="P295" s="6">
        <v>2.93</v>
      </c>
      <c r="Q295" t="s">
        <v>373</v>
      </c>
      <c r="R295" t="s">
        <v>374</v>
      </c>
      <c r="S295" t="s">
        <v>375</v>
      </c>
      <c r="T295" t="s">
        <v>66</v>
      </c>
      <c r="U295" t="s">
        <v>67</v>
      </c>
    </row>
    <row r="296" spans="1:21">
      <c r="A296">
        <v>2024</v>
      </c>
      <c r="B296">
        <v>7</v>
      </c>
      <c r="C296" t="s">
        <v>78</v>
      </c>
      <c r="D296" t="s">
        <v>381</v>
      </c>
      <c r="E296" s="7">
        <v>2669</v>
      </c>
      <c r="F296" s="16">
        <v>14</v>
      </c>
      <c r="G296" s="6">
        <v>28.94</v>
      </c>
      <c r="H296" s="6">
        <v>26.06</v>
      </c>
      <c r="I296" s="6">
        <v>33.200000000000003</v>
      </c>
      <c r="J296" s="6">
        <v>89.25</v>
      </c>
      <c r="K296" s="6">
        <v>10.53</v>
      </c>
      <c r="L296" s="6">
        <v>326.47000000000003</v>
      </c>
      <c r="M296" s="6">
        <v>99.96</v>
      </c>
      <c r="N296" s="6">
        <v>10.66</v>
      </c>
      <c r="O296" s="6">
        <v>22.39</v>
      </c>
      <c r="P296" s="6">
        <v>3.18</v>
      </c>
      <c r="Q296" t="s">
        <v>373</v>
      </c>
      <c r="R296" t="s">
        <v>374</v>
      </c>
      <c r="S296" t="s">
        <v>375</v>
      </c>
      <c r="T296" t="s">
        <v>66</v>
      </c>
      <c r="U296" t="s">
        <v>67</v>
      </c>
    </row>
    <row r="297" spans="1:21">
      <c r="A297">
        <v>2024</v>
      </c>
      <c r="B297">
        <v>8</v>
      </c>
      <c r="C297" t="s">
        <v>80</v>
      </c>
      <c r="D297" t="s">
        <v>382</v>
      </c>
      <c r="E297" s="7">
        <v>6521</v>
      </c>
      <c r="F297" s="16">
        <v>30</v>
      </c>
      <c r="G297" s="6">
        <v>28.02</v>
      </c>
      <c r="H297" s="6">
        <v>25.05</v>
      </c>
      <c r="I297" s="6">
        <v>32.15</v>
      </c>
      <c r="J297" s="6">
        <v>91.43</v>
      </c>
      <c r="K297" s="6">
        <v>24.54</v>
      </c>
      <c r="L297" s="6">
        <v>760.74</v>
      </c>
      <c r="M297" s="6">
        <v>100.32</v>
      </c>
      <c r="N297" s="6">
        <v>15.31</v>
      </c>
      <c r="O297" s="6">
        <v>21.7</v>
      </c>
      <c r="P297" s="6">
        <v>2.91</v>
      </c>
      <c r="Q297" t="s">
        <v>373</v>
      </c>
      <c r="R297" t="s">
        <v>374</v>
      </c>
      <c r="S297" t="s">
        <v>375</v>
      </c>
      <c r="T297" t="s">
        <v>66</v>
      </c>
      <c r="U297" t="s">
        <v>67</v>
      </c>
    </row>
    <row r="298" spans="1:21">
      <c r="A298">
        <v>2024</v>
      </c>
      <c r="B298">
        <v>9</v>
      </c>
      <c r="C298" t="s">
        <v>82</v>
      </c>
      <c r="D298" t="s">
        <v>383</v>
      </c>
      <c r="E298" s="7">
        <v>18097</v>
      </c>
      <c r="F298" s="16">
        <v>87</v>
      </c>
      <c r="G298" s="6">
        <v>28.46</v>
      </c>
      <c r="H298" s="6">
        <v>24.31</v>
      </c>
      <c r="I298" s="6">
        <v>33.92</v>
      </c>
      <c r="J298" s="6">
        <v>89.58</v>
      </c>
      <c r="K298" s="6">
        <v>15.93</v>
      </c>
      <c r="L298" s="6">
        <v>477.99</v>
      </c>
      <c r="M298" s="6">
        <v>100.33</v>
      </c>
      <c r="N298" s="6">
        <v>12.36</v>
      </c>
      <c r="O298" s="6">
        <v>21.8</v>
      </c>
      <c r="P298" s="6">
        <v>2.0299999999999998</v>
      </c>
      <c r="Q298" t="s">
        <v>373</v>
      </c>
      <c r="R298" t="s">
        <v>374</v>
      </c>
      <c r="S298" t="s">
        <v>375</v>
      </c>
      <c r="T298" t="s">
        <v>66</v>
      </c>
      <c r="U298" t="s">
        <v>67</v>
      </c>
    </row>
    <row r="299" spans="1:21">
      <c r="A299">
        <v>2024</v>
      </c>
      <c r="B299">
        <v>10</v>
      </c>
      <c r="C299" t="s">
        <v>84</v>
      </c>
      <c r="D299" t="s">
        <v>384</v>
      </c>
      <c r="E299" s="7">
        <v>30879</v>
      </c>
      <c r="F299" s="16">
        <v>135</v>
      </c>
      <c r="G299" s="6">
        <v>27.46</v>
      </c>
      <c r="H299" s="6">
        <v>22.31</v>
      </c>
      <c r="I299" s="6">
        <v>32.36</v>
      </c>
      <c r="J299" s="6">
        <v>85.84</v>
      </c>
      <c r="K299" s="6">
        <v>14.07</v>
      </c>
      <c r="L299" s="6">
        <v>436.1</v>
      </c>
      <c r="M299" s="6">
        <v>100.86</v>
      </c>
      <c r="N299" s="6">
        <v>8.4</v>
      </c>
      <c r="O299" s="6">
        <v>19.559999999999999</v>
      </c>
      <c r="P299" s="6">
        <v>1.39</v>
      </c>
      <c r="Q299" t="s">
        <v>373</v>
      </c>
      <c r="R299" t="s">
        <v>374</v>
      </c>
      <c r="S299" t="s">
        <v>375</v>
      </c>
      <c r="T299" t="s">
        <v>66</v>
      </c>
      <c r="U299" t="s">
        <v>67</v>
      </c>
    </row>
    <row r="300" spans="1:21">
      <c r="A300">
        <v>2024</v>
      </c>
      <c r="B300">
        <v>11</v>
      </c>
      <c r="C300" t="s">
        <v>86</v>
      </c>
      <c r="D300" t="s">
        <v>385</v>
      </c>
      <c r="E300" s="7">
        <v>29652</v>
      </c>
      <c r="F300" s="16">
        <v>173</v>
      </c>
      <c r="G300" s="6">
        <v>22.75</v>
      </c>
      <c r="H300" s="6">
        <v>14.97</v>
      </c>
      <c r="I300" s="6">
        <v>30.13</v>
      </c>
      <c r="J300" s="6">
        <v>80.52</v>
      </c>
      <c r="K300" s="6">
        <v>0.71</v>
      </c>
      <c r="L300" s="6">
        <v>21.26</v>
      </c>
      <c r="M300" s="6">
        <v>101.24</v>
      </c>
      <c r="N300" s="6">
        <v>5.96</v>
      </c>
      <c r="O300" s="6">
        <v>13.82</v>
      </c>
      <c r="P300" s="6">
        <v>1.42</v>
      </c>
      <c r="Q300" t="s">
        <v>373</v>
      </c>
      <c r="R300" t="s">
        <v>374</v>
      </c>
      <c r="S300" t="s">
        <v>375</v>
      </c>
      <c r="T300" t="s">
        <v>66</v>
      </c>
      <c r="U300" t="s">
        <v>67</v>
      </c>
    </row>
    <row r="301" spans="1:21">
      <c r="A301">
        <v>2024</v>
      </c>
      <c r="B301">
        <v>12</v>
      </c>
      <c r="C301" t="s">
        <v>88</v>
      </c>
      <c r="D301" t="s">
        <v>386</v>
      </c>
      <c r="E301" s="7">
        <v>9745</v>
      </c>
      <c r="F301" s="16">
        <v>87</v>
      </c>
      <c r="G301" s="6">
        <v>17.989999999999998</v>
      </c>
      <c r="H301" s="6">
        <v>10.11</v>
      </c>
      <c r="I301" s="6">
        <v>25.56</v>
      </c>
      <c r="J301" s="6">
        <v>78.73</v>
      </c>
      <c r="K301" s="6">
        <v>0.09</v>
      </c>
      <c r="L301" s="6">
        <v>2.73</v>
      </c>
      <c r="M301" s="6">
        <v>101.4</v>
      </c>
      <c r="N301" s="6">
        <v>6.75</v>
      </c>
      <c r="O301" s="6">
        <v>9.93</v>
      </c>
      <c r="P301" s="6">
        <v>1.5</v>
      </c>
      <c r="Q301" t="s">
        <v>373</v>
      </c>
      <c r="R301" t="s">
        <v>374</v>
      </c>
      <c r="S301" t="s">
        <v>375</v>
      </c>
      <c r="T301" t="s">
        <v>66</v>
      </c>
      <c r="U301" t="s">
        <v>67</v>
      </c>
    </row>
    <row r="302" spans="1:21">
      <c r="A302">
        <v>2025</v>
      </c>
      <c r="B302">
        <v>1</v>
      </c>
      <c r="C302" t="s">
        <v>62</v>
      </c>
      <c r="D302" t="s">
        <v>387</v>
      </c>
      <c r="E302" s="7">
        <v>1161</v>
      </c>
      <c r="F302" s="7">
        <v>10</v>
      </c>
      <c r="G302" s="6">
        <v>18.3</v>
      </c>
      <c r="H302" s="6">
        <v>9.59</v>
      </c>
      <c r="I302" s="6">
        <v>27.8</v>
      </c>
      <c r="J302" s="6">
        <v>73.97</v>
      </c>
      <c r="K302" s="6">
        <v>0.06</v>
      </c>
      <c r="L302" s="6">
        <v>1.73</v>
      </c>
      <c r="M302" s="6">
        <v>101.4</v>
      </c>
      <c r="N302" s="6">
        <v>7.58</v>
      </c>
      <c r="O302" s="6">
        <v>9.43</v>
      </c>
      <c r="P302" s="6">
        <v>1.43</v>
      </c>
      <c r="Q302" t="s">
        <v>388</v>
      </c>
      <c r="R302" t="s">
        <v>389</v>
      </c>
      <c r="S302" t="s">
        <v>389</v>
      </c>
      <c r="T302" t="s">
        <v>66</v>
      </c>
      <c r="U302" t="s">
        <v>67</v>
      </c>
    </row>
    <row r="303" spans="1:21">
      <c r="A303">
        <v>2025</v>
      </c>
      <c r="B303">
        <v>2</v>
      </c>
      <c r="C303" t="s">
        <v>68</v>
      </c>
      <c r="D303" t="s">
        <v>390</v>
      </c>
      <c r="E303" s="7">
        <v>374</v>
      </c>
      <c r="F303" s="7">
        <v>3</v>
      </c>
      <c r="G303" s="6">
        <v>22.25</v>
      </c>
      <c r="H303" s="6">
        <v>11.51</v>
      </c>
      <c r="I303" s="6">
        <v>31.9</v>
      </c>
      <c r="J303" s="6">
        <v>58.75</v>
      </c>
      <c r="K303" s="6">
        <v>0.1</v>
      </c>
      <c r="L303" s="6">
        <v>2.72</v>
      </c>
      <c r="M303" s="6">
        <v>101.29</v>
      </c>
      <c r="N303" s="6">
        <v>7.93</v>
      </c>
      <c r="O303" s="6">
        <v>9.4</v>
      </c>
      <c r="P303" s="6">
        <v>1.37</v>
      </c>
      <c r="Q303" t="s">
        <v>388</v>
      </c>
      <c r="R303" t="s">
        <v>389</v>
      </c>
      <c r="S303" t="s">
        <v>389</v>
      </c>
      <c r="T303" t="s">
        <v>66</v>
      </c>
      <c r="U303" t="s">
        <v>67</v>
      </c>
    </row>
    <row r="304" spans="1:21">
      <c r="A304">
        <v>2025</v>
      </c>
      <c r="B304">
        <v>3</v>
      </c>
      <c r="C304" t="s">
        <v>70</v>
      </c>
      <c r="D304" t="s">
        <v>391</v>
      </c>
      <c r="E304" s="7">
        <v>336</v>
      </c>
      <c r="F304" s="7">
        <v>0</v>
      </c>
      <c r="G304" s="6">
        <v>27.34</v>
      </c>
      <c r="H304" s="6">
        <v>15.2</v>
      </c>
      <c r="I304" s="6">
        <v>39.229999999999997</v>
      </c>
      <c r="J304" s="6">
        <v>55.13</v>
      </c>
      <c r="K304" s="6">
        <v>0.08</v>
      </c>
      <c r="L304" s="6">
        <v>2.4900000000000002</v>
      </c>
      <c r="M304" s="6">
        <v>100.93</v>
      </c>
      <c r="N304" s="6">
        <v>8.2799999999999994</v>
      </c>
      <c r="O304" s="6">
        <v>11.78</v>
      </c>
      <c r="P304" s="6">
        <v>1.94</v>
      </c>
      <c r="Q304" t="s">
        <v>388</v>
      </c>
      <c r="R304" t="s">
        <v>389</v>
      </c>
      <c r="S304" t="s">
        <v>389</v>
      </c>
      <c r="T304" t="s">
        <v>66</v>
      </c>
      <c r="U304" t="s">
        <v>67</v>
      </c>
    </row>
    <row r="305" spans="1:21">
      <c r="A305">
        <v>2025</v>
      </c>
      <c r="B305">
        <v>4</v>
      </c>
      <c r="C305" t="s">
        <v>72</v>
      </c>
      <c r="D305" t="s">
        <v>392</v>
      </c>
      <c r="E305" s="7">
        <v>701</v>
      </c>
      <c r="F305" s="7">
        <v>7</v>
      </c>
      <c r="G305" s="6">
        <v>29.42</v>
      </c>
      <c r="H305" s="6">
        <v>23.43</v>
      </c>
      <c r="I305" s="6">
        <v>38.17</v>
      </c>
      <c r="J305" s="6">
        <v>66.349999999999994</v>
      </c>
      <c r="K305" s="6">
        <v>5.46</v>
      </c>
      <c r="L305" s="6">
        <v>163.66999999999999</v>
      </c>
      <c r="M305" s="6">
        <v>100.77</v>
      </c>
      <c r="N305" s="6">
        <v>10.87</v>
      </c>
      <c r="O305" s="6">
        <v>16.3</v>
      </c>
      <c r="P305" s="6">
        <v>2.11</v>
      </c>
      <c r="Q305" t="s">
        <v>388</v>
      </c>
      <c r="R305" t="s">
        <v>389</v>
      </c>
      <c r="S305" t="s">
        <v>389</v>
      </c>
      <c r="T305" t="s">
        <v>66</v>
      </c>
      <c r="U305" t="s">
        <v>67</v>
      </c>
    </row>
    <row r="306" spans="1:21">
      <c r="A306">
        <v>2025</v>
      </c>
      <c r="B306">
        <v>5</v>
      </c>
      <c r="C306" t="s">
        <v>74</v>
      </c>
      <c r="D306" t="s">
        <v>393</v>
      </c>
      <c r="E306" s="7">
        <v>1773</v>
      </c>
      <c r="F306" s="7">
        <v>3</v>
      </c>
      <c r="G306" s="6">
        <v>29.46</v>
      </c>
      <c r="H306" s="6">
        <v>24.19</v>
      </c>
      <c r="I306" s="6">
        <v>38.85</v>
      </c>
      <c r="J306" s="6">
        <v>77.650000000000006</v>
      </c>
      <c r="K306" s="6">
        <v>15.76</v>
      </c>
      <c r="L306" s="6">
        <v>488.6</v>
      </c>
      <c r="M306" s="6">
        <v>100.35</v>
      </c>
      <c r="N306" s="6">
        <v>16.63</v>
      </c>
      <c r="O306" s="6">
        <v>19.579999999999998</v>
      </c>
      <c r="P306" s="6">
        <v>2.31</v>
      </c>
      <c r="Q306" t="s">
        <v>388</v>
      </c>
      <c r="R306" t="s">
        <v>389</v>
      </c>
      <c r="S306" t="s">
        <v>389</v>
      </c>
      <c r="T306" t="s">
        <v>66</v>
      </c>
      <c r="U306" t="s">
        <v>67</v>
      </c>
    </row>
    <row r="307" spans="1:21">
      <c r="A307">
        <v>2025</v>
      </c>
      <c r="B307">
        <v>6</v>
      </c>
      <c r="C307" t="s">
        <v>76</v>
      </c>
      <c r="D307" t="s">
        <v>394</v>
      </c>
      <c r="E307" s="7">
        <v>5951</v>
      </c>
      <c r="F307" s="7">
        <v>19</v>
      </c>
      <c r="G307" s="6">
        <v>28.63</v>
      </c>
      <c r="H307" s="6">
        <v>25.42</v>
      </c>
      <c r="I307" s="6">
        <v>33.479999999999997</v>
      </c>
      <c r="J307" s="6">
        <v>88.49</v>
      </c>
      <c r="K307" s="6">
        <v>12.7</v>
      </c>
      <c r="L307" s="6">
        <v>380.9</v>
      </c>
      <c r="M307" s="6">
        <v>100.07</v>
      </c>
      <c r="N307" s="6">
        <v>11.21</v>
      </c>
      <c r="O307" s="6">
        <v>21.75</v>
      </c>
      <c r="P307" s="6">
        <v>2.73</v>
      </c>
      <c r="Q307" t="s">
        <v>388</v>
      </c>
      <c r="R307" t="s">
        <v>389</v>
      </c>
      <c r="S307" t="s">
        <v>389</v>
      </c>
      <c r="T307" t="s">
        <v>66</v>
      </c>
      <c r="U307" t="s">
        <v>67</v>
      </c>
    </row>
    <row r="308" spans="1:21">
      <c r="A308">
        <v>2025</v>
      </c>
      <c r="B308">
        <v>7</v>
      </c>
      <c r="C308" t="s">
        <v>78</v>
      </c>
      <c r="D308" t="s">
        <v>395</v>
      </c>
      <c r="E308" s="7">
        <v>10684</v>
      </c>
      <c r="F308" s="7">
        <v>41</v>
      </c>
      <c r="G308" s="6">
        <v>28.33</v>
      </c>
      <c r="H308" s="6">
        <v>25.51</v>
      </c>
      <c r="I308" s="6">
        <v>33.33</v>
      </c>
      <c r="J308" s="6">
        <v>90.34</v>
      </c>
      <c r="K308" s="6">
        <v>21.12</v>
      </c>
      <c r="L308" s="6">
        <v>654.74</v>
      </c>
      <c r="M308" s="6">
        <v>99.9</v>
      </c>
      <c r="N308" s="6">
        <v>13.73</v>
      </c>
      <c r="O308" s="6">
        <v>21.91</v>
      </c>
      <c r="P308" s="6">
        <v>2.93</v>
      </c>
      <c r="Q308" t="s">
        <v>388</v>
      </c>
      <c r="R308" t="s">
        <v>389</v>
      </c>
      <c r="S308" t="s">
        <v>389</v>
      </c>
      <c r="T308" t="s">
        <v>66</v>
      </c>
      <c r="U308" t="s">
        <v>67</v>
      </c>
    </row>
    <row r="309" spans="1:21">
      <c r="A309">
        <v>2025</v>
      </c>
      <c r="B309">
        <v>8</v>
      </c>
      <c r="C309" t="s">
        <v>80</v>
      </c>
      <c r="D309" t="s">
        <v>396</v>
      </c>
      <c r="E309" s="7">
        <v>10496</v>
      </c>
      <c r="F309" s="7">
        <v>39</v>
      </c>
      <c r="G309" s="6">
        <v>28.01</v>
      </c>
      <c r="H309" s="6">
        <v>24.8</v>
      </c>
      <c r="I309" s="6">
        <v>32.340000000000003</v>
      </c>
      <c r="J309" s="6">
        <v>90.16</v>
      </c>
      <c r="K309" s="6">
        <v>13.12</v>
      </c>
      <c r="L309" s="6">
        <v>406.62</v>
      </c>
      <c r="M309" s="6">
        <v>100.35</v>
      </c>
      <c r="N309" s="6">
        <v>10.88</v>
      </c>
      <c r="O309" s="6">
        <v>21.35</v>
      </c>
      <c r="P309" s="6">
        <v>2.48</v>
      </c>
      <c r="Q309" t="s">
        <v>388</v>
      </c>
      <c r="R309" t="s">
        <v>389</v>
      </c>
      <c r="S309" t="s">
        <v>389</v>
      </c>
      <c r="T309" t="s">
        <v>66</v>
      </c>
      <c r="U309" t="s">
        <v>67</v>
      </c>
    </row>
    <row r="310" spans="1:21">
      <c r="A310">
        <v>2025</v>
      </c>
      <c r="B310">
        <v>9</v>
      </c>
      <c r="C310" t="s">
        <v>82</v>
      </c>
      <c r="D310" t="s">
        <v>397</v>
      </c>
      <c r="E310" s="7">
        <v>15866</v>
      </c>
      <c r="F310" s="7">
        <v>76</v>
      </c>
      <c r="G310" s="6">
        <v>28.06</v>
      </c>
      <c r="H310" s="6">
        <v>24.62</v>
      </c>
      <c r="I310" s="6">
        <v>32.31</v>
      </c>
      <c r="J310" s="6">
        <v>89</v>
      </c>
      <c r="K310" s="6">
        <v>11.13</v>
      </c>
      <c r="L310" s="6">
        <v>333.76</v>
      </c>
      <c r="M310" s="6">
        <v>100.45</v>
      </c>
      <c r="N310" s="6">
        <v>8.02</v>
      </c>
      <c r="O310" s="6">
        <v>21.11</v>
      </c>
      <c r="P310" s="6">
        <v>1.61</v>
      </c>
      <c r="Q310" t="s">
        <v>388</v>
      </c>
      <c r="R310" t="s">
        <v>389</v>
      </c>
      <c r="S310" t="s">
        <v>389</v>
      </c>
      <c r="T310" t="s">
        <v>66</v>
      </c>
      <c r="U310" t="s">
        <v>67</v>
      </c>
    </row>
    <row r="311" spans="1:21">
      <c r="A311">
        <v>2025</v>
      </c>
      <c r="B311">
        <v>10</v>
      </c>
      <c r="C311" t="s">
        <v>84</v>
      </c>
      <c r="D311" t="s">
        <v>398</v>
      </c>
      <c r="E311" s="7">
        <v>22520</v>
      </c>
      <c r="F311" s="7">
        <v>80</v>
      </c>
      <c r="G311" s="6">
        <v>27.01</v>
      </c>
      <c r="H311" s="6">
        <v>21.43</v>
      </c>
      <c r="I311" s="6">
        <v>32.24</v>
      </c>
      <c r="J311" s="6">
        <v>84.67</v>
      </c>
      <c r="K311" s="6">
        <v>7.92</v>
      </c>
      <c r="L311" s="6">
        <v>245.53</v>
      </c>
      <c r="M311" s="6">
        <v>100.91</v>
      </c>
      <c r="N311" s="6">
        <v>7.65</v>
      </c>
      <c r="O311" s="6">
        <v>18.73</v>
      </c>
      <c r="P311" s="6">
        <v>1.41</v>
      </c>
      <c r="Q311" t="s">
        <v>388</v>
      </c>
      <c r="R311" t="s">
        <v>389</v>
      </c>
      <c r="S311" t="s">
        <v>389</v>
      </c>
      <c r="T311" t="s">
        <v>66</v>
      </c>
      <c r="U311" t="s">
        <v>67</v>
      </c>
    </row>
    <row r="312" spans="1:21">
      <c r="A312">
        <v>2025</v>
      </c>
      <c r="B312">
        <v>11</v>
      </c>
      <c r="C312" t="s">
        <v>86</v>
      </c>
      <c r="D312" t="s">
        <v>399</v>
      </c>
      <c r="E312" s="7">
        <v>25219</v>
      </c>
      <c r="F312" s="7">
        <v>102</v>
      </c>
      <c r="G312" s="6">
        <v>21.78</v>
      </c>
      <c r="H312" s="6">
        <v>13.79</v>
      </c>
      <c r="I312" s="6">
        <v>30.04</v>
      </c>
      <c r="J312" s="6">
        <v>81.650000000000006</v>
      </c>
      <c r="K312" s="6">
        <v>1.6</v>
      </c>
      <c r="L312" s="6">
        <v>48.08</v>
      </c>
      <c r="M312" s="6">
        <v>101.22</v>
      </c>
      <c r="N312" s="6">
        <v>7.41</v>
      </c>
      <c r="O312" s="6">
        <v>13.29</v>
      </c>
      <c r="P312" s="6">
        <v>1.69</v>
      </c>
      <c r="Q312" t="s">
        <v>400</v>
      </c>
      <c r="R312" t="s">
        <v>401</v>
      </c>
      <c r="S312" t="s">
        <v>401</v>
      </c>
      <c r="T312" t="s">
        <v>66</v>
      </c>
      <c r="U312" t="s">
        <v>67</v>
      </c>
    </row>
    <row r="313" spans="1:21">
      <c r="A313">
        <v>2025</v>
      </c>
      <c r="B313">
        <v>12</v>
      </c>
      <c r="C313" t="s">
        <v>88</v>
      </c>
      <c r="D313" t="s">
        <v>402</v>
      </c>
      <c r="E313" s="7">
        <v>7780</v>
      </c>
      <c r="F313" s="7">
        <v>33</v>
      </c>
      <c r="G313" s="6">
        <v>17.82</v>
      </c>
      <c r="H313" s="6">
        <v>8.69</v>
      </c>
      <c r="I313" s="6">
        <v>26.32</v>
      </c>
      <c r="J313" s="6">
        <v>80.53</v>
      </c>
      <c r="K313" s="6">
        <v>0.01</v>
      </c>
      <c r="L313" s="6">
        <v>0.46</v>
      </c>
      <c r="M313" s="6">
        <v>101.43</v>
      </c>
      <c r="N313" s="6">
        <v>6.53</v>
      </c>
      <c r="O313" s="6">
        <v>10.050000000000001</v>
      </c>
      <c r="P313" s="6">
        <v>1.47</v>
      </c>
      <c r="Q313" t="s">
        <v>403</v>
      </c>
      <c r="R313" t="s">
        <v>404</v>
      </c>
      <c r="S313" t="s">
        <v>404</v>
      </c>
      <c r="T313" t="s">
        <v>66</v>
      </c>
      <c r="U313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3"/>
  <sheetViews>
    <sheetView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baseColWidth="10" defaultColWidth="8.83203125" defaultRowHeight="14"/>
  <cols>
    <col min="1" max="3" width="19" customWidth="1"/>
    <col min="4" max="4" width="15" customWidth="1"/>
    <col min="5" max="14" width="19" customWidth="1"/>
  </cols>
  <sheetData>
    <row r="1" spans="1:14" ht="28" customHeight="1">
      <c r="A1" s="5" t="s">
        <v>41</v>
      </c>
      <c r="B1" s="5" t="s">
        <v>42</v>
      </c>
      <c r="C1" s="5" t="s">
        <v>43</v>
      </c>
      <c r="D1" s="5" t="s">
        <v>44</v>
      </c>
      <c r="E1" s="5" t="s">
        <v>51</v>
      </c>
      <c r="F1" s="5" t="s">
        <v>52</v>
      </c>
      <c r="G1" s="5" t="s">
        <v>53</v>
      </c>
      <c r="H1" s="5" t="s">
        <v>55</v>
      </c>
      <c r="I1" s="5" t="s">
        <v>50</v>
      </c>
      <c r="J1" s="5" t="s">
        <v>47</v>
      </c>
      <c r="K1" s="5" t="s">
        <v>49</v>
      </c>
      <c r="L1" s="5" t="s">
        <v>48</v>
      </c>
      <c r="M1" s="5" t="s">
        <v>56</v>
      </c>
      <c r="N1" s="5" t="s">
        <v>54</v>
      </c>
    </row>
    <row r="2" spans="1:14">
      <c r="A2">
        <v>2000</v>
      </c>
      <c r="B2">
        <v>1</v>
      </c>
      <c r="C2" t="s">
        <v>62</v>
      </c>
      <c r="D2" t="s">
        <v>63</v>
      </c>
      <c r="E2" s="6">
        <v>0.34</v>
      </c>
      <c r="F2" s="6">
        <v>10.45</v>
      </c>
      <c r="G2" s="6">
        <v>101.31</v>
      </c>
      <c r="H2" s="6">
        <v>7.82</v>
      </c>
      <c r="I2" s="6">
        <v>62.09</v>
      </c>
      <c r="J2" s="6">
        <v>18.45</v>
      </c>
      <c r="K2" s="6">
        <v>28.18</v>
      </c>
      <c r="L2" s="6">
        <v>8.02</v>
      </c>
      <c r="M2" s="6">
        <v>1.61</v>
      </c>
      <c r="N2" s="6">
        <v>7.66</v>
      </c>
    </row>
    <row r="3" spans="1:14">
      <c r="A3">
        <v>2000</v>
      </c>
      <c r="B3">
        <v>2</v>
      </c>
      <c r="C3" t="s">
        <v>68</v>
      </c>
      <c r="D3" t="s">
        <v>69</v>
      </c>
      <c r="E3" s="6">
        <v>0.77</v>
      </c>
      <c r="F3" s="6">
        <v>22.27</v>
      </c>
      <c r="G3" s="6">
        <v>101.2</v>
      </c>
      <c r="H3" s="6">
        <v>7.46</v>
      </c>
      <c r="I3" s="6">
        <v>52.38</v>
      </c>
      <c r="J3" s="6">
        <v>20.55</v>
      </c>
      <c r="K3" s="6">
        <v>29.9</v>
      </c>
      <c r="L3" s="6">
        <v>10.82</v>
      </c>
      <c r="M3" s="6">
        <v>1.66</v>
      </c>
      <c r="N3" s="6">
        <v>8.5500000000000007</v>
      </c>
    </row>
    <row r="4" spans="1:14">
      <c r="A4">
        <v>2000</v>
      </c>
      <c r="B4">
        <v>3</v>
      </c>
      <c r="C4" t="s">
        <v>70</v>
      </c>
      <c r="D4" t="s">
        <v>71</v>
      </c>
      <c r="E4" s="6">
        <v>2.4900000000000002</v>
      </c>
      <c r="F4" s="6">
        <v>77.209999999999994</v>
      </c>
      <c r="G4" s="6">
        <v>100.85</v>
      </c>
      <c r="H4" s="6">
        <v>10.75</v>
      </c>
      <c r="I4" s="6">
        <v>55.96</v>
      </c>
      <c r="J4" s="6">
        <v>25.78</v>
      </c>
      <c r="K4" s="6">
        <v>36.07</v>
      </c>
      <c r="L4" s="6">
        <v>14.5</v>
      </c>
      <c r="M4" s="6">
        <v>2.12</v>
      </c>
      <c r="N4" s="6">
        <v>10.73</v>
      </c>
    </row>
    <row r="5" spans="1:14">
      <c r="A5">
        <v>2000</v>
      </c>
      <c r="B5">
        <v>4</v>
      </c>
      <c r="C5" t="s">
        <v>72</v>
      </c>
      <c r="D5" t="s">
        <v>73</v>
      </c>
      <c r="E5" s="6">
        <v>5.17</v>
      </c>
      <c r="F5" s="6">
        <v>155.24</v>
      </c>
      <c r="G5" s="6">
        <v>100.44</v>
      </c>
      <c r="H5" s="6">
        <v>16.489999999999998</v>
      </c>
      <c r="I5" s="6">
        <v>67.930000000000007</v>
      </c>
      <c r="J5" s="6">
        <v>29.45</v>
      </c>
      <c r="K5" s="6">
        <v>39.67</v>
      </c>
      <c r="L5" s="6">
        <v>22.97</v>
      </c>
      <c r="M5" s="6">
        <v>3.07</v>
      </c>
      <c r="N5" s="6">
        <v>11.93</v>
      </c>
    </row>
    <row r="6" spans="1:14">
      <c r="A6">
        <v>2000</v>
      </c>
      <c r="B6">
        <v>5</v>
      </c>
      <c r="C6" t="s">
        <v>74</v>
      </c>
      <c r="D6" t="s">
        <v>75</v>
      </c>
      <c r="E6" s="6">
        <v>13.24</v>
      </c>
      <c r="F6" s="6">
        <v>410.31</v>
      </c>
      <c r="G6" s="6">
        <v>100.29</v>
      </c>
      <c r="H6" s="6">
        <v>19.64</v>
      </c>
      <c r="I6" s="6">
        <v>81.64</v>
      </c>
      <c r="J6" s="6">
        <v>28.5</v>
      </c>
      <c r="K6" s="6">
        <v>37.549999999999997</v>
      </c>
      <c r="L6" s="6">
        <v>22.91</v>
      </c>
      <c r="M6" s="6">
        <v>2.42</v>
      </c>
      <c r="N6" s="6">
        <v>10.76</v>
      </c>
    </row>
    <row r="7" spans="1:14">
      <c r="A7">
        <v>2000</v>
      </c>
      <c r="B7">
        <v>6</v>
      </c>
      <c r="C7" t="s">
        <v>76</v>
      </c>
      <c r="D7" t="s">
        <v>77</v>
      </c>
      <c r="E7" s="6">
        <v>7.83</v>
      </c>
      <c r="F7" s="6">
        <v>234.8</v>
      </c>
      <c r="G7" s="6">
        <v>100.05</v>
      </c>
      <c r="H7" s="6">
        <v>21.46</v>
      </c>
      <c r="I7" s="6">
        <v>88.86</v>
      </c>
      <c r="J7" s="6">
        <v>28.32</v>
      </c>
      <c r="K7" s="6">
        <v>33.159999999999997</v>
      </c>
      <c r="L7" s="6">
        <v>25.14</v>
      </c>
      <c r="M7" s="6">
        <v>2.98</v>
      </c>
      <c r="N7" s="6">
        <v>12.21</v>
      </c>
    </row>
    <row r="8" spans="1:14">
      <c r="A8">
        <v>2000</v>
      </c>
      <c r="B8">
        <v>7</v>
      </c>
      <c r="C8" t="s">
        <v>78</v>
      </c>
      <c r="D8" t="s">
        <v>79</v>
      </c>
      <c r="E8" s="6">
        <v>6.49</v>
      </c>
      <c r="F8" s="6">
        <v>201.24</v>
      </c>
      <c r="G8" s="6">
        <v>99.93</v>
      </c>
      <c r="H8" s="6">
        <v>21.34</v>
      </c>
      <c r="I8" s="6">
        <v>88.79</v>
      </c>
      <c r="J8" s="6">
        <v>28.22</v>
      </c>
      <c r="K8" s="6">
        <v>32.94</v>
      </c>
      <c r="L8" s="6">
        <v>25.28</v>
      </c>
      <c r="M8" s="6">
        <v>3.11</v>
      </c>
      <c r="N8" s="6">
        <v>11.88</v>
      </c>
    </row>
    <row r="9" spans="1:14">
      <c r="A9">
        <v>2000</v>
      </c>
      <c r="B9">
        <v>8</v>
      </c>
      <c r="C9" t="s">
        <v>80</v>
      </c>
      <c r="D9" t="s">
        <v>81</v>
      </c>
      <c r="E9" s="6">
        <v>12.69</v>
      </c>
      <c r="F9" s="6">
        <v>393.3</v>
      </c>
      <c r="G9" s="6">
        <v>100.09</v>
      </c>
      <c r="H9" s="6">
        <v>21.37</v>
      </c>
      <c r="I9" s="6">
        <v>90.03</v>
      </c>
      <c r="J9" s="6">
        <v>28.01</v>
      </c>
      <c r="K9" s="6">
        <v>32.75</v>
      </c>
      <c r="L9" s="6">
        <v>25.34</v>
      </c>
      <c r="M9" s="6">
        <v>2.73</v>
      </c>
      <c r="N9" s="6">
        <v>12.92</v>
      </c>
    </row>
    <row r="10" spans="1:14">
      <c r="A10">
        <v>2000</v>
      </c>
      <c r="B10">
        <v>9</v>
      </c>
      <c r="C10" t="s">
        <v>82</v>
      </c>
      <c r="D10" t="s">
        <v>83</v>
      </c>
      <c r="E10" s="6">
        <v>5.08</v>
      </c>
      <c r="F10" s="6">
        <v>152.38</v>
      </c>
      <c r="G10" s="6">
        <v>100.42</v>
      </c>
      <c r="H10" s="6">
        <v>20.12</v>
      </c>
      <c r="I10" s="6">
        <v>89.49</v>
      </c>
      <c r="J10" s="6">
        <v>27.13</v>
      </c>
      <c r="K10" s="6">
        <v>32.04</v>
      </c>
      <c r="L10" s="6">
        <v>22.53</v>
      </c>
      <c r="M10" s="6">
        <v>2.23</v>
      </c>
      <c r="N10" s="6">
        <v>11.25</v>
      </c>
    </row>
    <row r="11" spans="1:14">
      <c r="A11">
        <v>2000</v>
      </c>
      <c r="B11">
        <v>10</v>
      </c>
      <c r="C11" t="s">
        <v>84</v>
      </c>
      <c r="D11" t="s">
        <v>85</v>
      </c>
      <c r="E11" s="6">
        <v>6.41</v>
      </c>
      <c r="F11" s="6">
        <v>198.72</v>
      </c>
      <c r="G11" s="6">
        <v>100.67</v>
      </c>
      <c r="H11" s="6">
        <v>18.3</v>
      </c>
      <c r="I11" s="6">
        <v>83.81</v>
      </c>
      <c r="J11" s="6">
        <v>26.77</v>
      </c>
      <c r="K11" s="6">
        <v>32.61</v>
      </c>
      <c r="L11" s="6">
        <v>19.41</v>
      </c>
      <c r="M11" s="6">
        <v>1.39</v>
      </c>
      <c r="N11" s="6">
        <v>9.14</v>
      </c>
    </row>
    <row r="12" spans="1:14">
      <c r="A12">
        <v>2000</v>
      </c>
      <c r="B12">
        <v>11</v>
      </c>
      <c r="C12" t="s">
        <v>86</v>
      </c>
      <c r="D12" t="s">
        <v>87</v>
      </c>
      <c r="E12" s="6">
        <v>0.35</v>
      </c>
      <c r="F12" s="6">
        <v>10.46</v>
      </c>
      <c r="G12" s="6">
        <v>101.17</v>
      </c>
      <c r="H12" s="6">
        <v>12.94</v>
      </c>
      <c r="I12" s="6">
        <v>77.47</v>
      </c>
      <c r="J12" s="6">
        <v>22.52</v>
      </c>
      <c r="K12" s="6">
        <v>29.68</v>
      </c>
      <c r="L12" s="6">
        <v>15.06</v>
      </c>
      <c r="M12" s="6">
        <v>1.31</v>
      </c>
      <c r="N12" s="6">
        <v>5.43</v>
      </c>
    </row>
    <row r="13" spans="1:14">
      <c r="A13">
        <v>2000</v>
      </c>
      <c r="B13">
        <v>12</v>
      </c>
      <c r="C13" t="s">
        <v>88</v>
      </c>
      <c r="D13" t="s">
        <v>89</v>
      </c>
      <c r="E13" s="6">
        <v>0</v>
      </c>
      <c r="F13" s="6">
        <v>0.04</v>
      </c>
      <c r="G13" s="6">
        <v>101.32</v>
      </c>
      <c r="H13" s="6">
        <v>8.85</v>
      </c>
      <c r="I13" s="6">
        <v>70.959999999999994</v>
      </c>
      <c r="J13" s="6">
        <v>18.12</v>
      </c>
      <c r="K13" s="6">
        <v>26.35</v>
      </c>
      <c r="L13" s="6">
        <v>10.78</v>
      </c>
      <c r="M13" s="6">
        <v>1.4</v>
      </c>
      <c r="N13" s="6">
        <v>7.37</v>
      </c>
    </row>
    <row r="14" spans="1:14">
      <c r="A14">
        <v>2001</v>
      </c>
      <c r="B14">
        <v>1</v>
      </c>
      <c r="C14" t="s">
        <v>62</v>
      </c>
      <c r="D14" t="s">
        <v>90</v>
      </c>
      <c r="E14" s="6">
        <v>0</v>
      </c>
      <c r="F14" s="6">
        <v>0.01</v>
      </c>
      <c r="G14" s="6">
        <v>101.26</v>
      </c>
      <c r="H14" s="6">
        <v>6.62</v>
      </c>
      <c r="I14" s="6">
        <v>58.98</v>
      </c>
      <c r="J14" s="6">
        <v>16.59</v>
      </c>
      <c r="K14" s="6">
        <v>27.58</v>
      </c>
      <c r="L14" s="6">
        <v>8.2100000000000009</v>
      </c>
      <c r="M14" s="6">
        <v>1.66</v>
      </c>
      <c r="N14" s="6">
        <v>7.42</v>
      </c>
    </row>
    <row r="15" spans="1:14">
      <c r="A15">
        <v>2001</v>
      </c>
      <c r="B15">
        <v>2</v>
      </c>
      <c r="C15" t="s">
        <v>68</v>
      </c>
      <c r="D15" t="s">
        <v>91</v>
      </c>
      <c r="E15" s="6">
        <v>1.08</v>
      </c>
      <c r="F15" s="6">
        <v>30.15</v>
      </c>
      <c r="G15" s="6">
        <v>101.02</v>
      </c>
      <c r="H15" s="6">
        <v>7.86</v>
      </c>
      <c r="I15" s="6">
        <v>48.82</v>
      </c>
      <c r="J15" s="6">
        <v>22.19</v>
      </c>
      <c r="K15" s="6">
        <v>32.69</v>
      </c>
      <c r="L15" s="6">
        <v>11.16</v>
      </c>
      <c r="M15" s="6">
        <v>1.47</v>
      </c>
      <c r="N15" s="6">
        <v>9.82</v>
      </c>
    </row>
    <row r="16" spans="1:14">
      <c r="A16">
        <v>2001</v>
      </c>
      <c r="B16">
        <v>3</v>
      </c>
      <c r="C16" t="s">
        <v>70</v>
      </c>
      <c r="D16" t="s">
        <v>92</v>
      </c>
      <c r="E16" s="6">
        <v>0.61</v>
      </c>
      <c r="F16" s="6">
        <v>18.760000000000002</v>
      </c>
      <c r="G16" s="6">
        <v>100.87</v>
      </c>
      <c r="H16" s="6">
        <v>9.36</v>
      </c>
      <c r="I16" s="6">
        <v>45.16</v>
      </c>
      <c r="J16" s="6">
        <v>26.9</v>
      </c>
      <c r="K16" s="6">
        <v>38.119999999999997</v>
      </c>
      <c r="L16" s="6">
        <v>15.67</v>
      </c>
      <c r="M16" s="6">
        <v>1.78</v>
      </c>
      <c r="N16" s="6">
        <v>9.32</v>
      </c>
    </row>
    <row r="17" spans="1:14">
      <c r="A17">
        <v>2001</v>
      </c>
      <c r="B17">
        <v>4</v>
      </c>
      <c r="C17" t="s">
        <v>72</v>
      </c>
      <c r="D17" t="s">
        <v>93</v>
      </c>
      <c r="E17" s="6">
        <v>2.15</v>
      </c>
      <c r="F17" s="6">
        <v>64.540000000000006</v>
      </c>
      <c r="G17" s="6">
        <v>100.63</v>
      </c>
      <c r="H17" s="6">
        <v>13.61</v>
      </c>
      <c r="I17" s="6">
        <v>53.14</v>
      </c>
      <c r="J17" s="6">
        <v>30.74</v>
      </c>
      <c r="K17" s="6">
        <v>40.98</v>
      </c>
      <c r="L17" s="6">
        <v>21.52</v>
      </c>
      <c r="M17" s="6">
        <v>2.48</v>
      </c>
      <c r="N17" s="6">
        <v>12.37</v>
      </c>
    </row>
    <row r="18" spans="1:14">
      <c r="A18">
        <v>2001</v>
      </c>
      <c r="B18">
        <v>5</v>
      </c>
      <c r="C18" t="s">
        <v>74</v>
      </c>
      <c r="D18" t="s">
        <v>94</v>
      </c>
      <c r="E18" s="6">
        <v>11.39</v>
      </c>
      <c r="F18" s="6">
        <v>353.06</v>
      </c>
      <c r="G18" s="6">
        <v>100.24</v>
      </c>
      <c r="H18" s="6">
        <v>19.87</v>
      </c>
      <c r="I18" s="6">
        <v>81.650000000000006</v>
      </c>
      <c r="J18" s="6">
        <v>28.67</v>
      </c>
      <c r="K18" s="6">
        <v>35.619999999999997</v>
      </c>
      <c r="L18" s="6">
        <v>23.81</v>
      </c>
      <c r="M18" s="6">
        <v>2.44</v>
      </c>
      <c r="N18" s="6">
        <v>9.6199999999999992</v>
      </c>
    </row>
    <row r="19" spans="1:14">
      <c r="A19">
        <v>2001</v>
      </c>
      <c r="B19">
        <v>6</v>
      </c>
      <c r="C19" t="s">
        <v>76</v>
      </c>
      <c r="D19" t="s">
        <v>95</v>
      </c>
      <c r="E19" s="6">
        <v>16.66</v>
      </c>
      <c r="F19" s="6">
        <v>499.77</v>
      </c>
      <c r="G19" s="6">
        <v>99.93</v>
      </c>
      <c r="H19" s="6">
        <v>21.38</v>
      </c>
      <c r="I19" s="6">
        <v>90.49</v>
      </c>
      <c r="J19" s="6">
        <v>27.89</v>
      </c>
      <c r="K19" s="6">
        <v>32.71</v>
      </c>
      <c r="L19" s="6">
        <v>24.32</v>
      </c>
      <c r="M19" s="6">
        <v>3.48</v>
      </c>
      <c r="N19" s="6">
        <v>14.17</v>
      </c>
    </row>
    <row r="20" spans="1:14">
      <c r="A20">
        <v>2001</v>
      </c>
      <c r="B20">
        <v>7</v>
      </c>
      <c r="C20" t="s">
        <v>78</v>
      </c>
      <c r="D20" t="s">
        <v>96</v>
      </c>
      <c r="E20" s="6">
        <v>10.54</v>
      </c>
      <c r="F20" s="6">
        <v>326.87</v>
      </c>
      <c r="G20" s="6">
        <v>99.96</v>
      </c>
      <c r="H20" s="6">
        <v>21.51</v>
      </c>
      <c r="I20" s="6">
        <v>90.73</v>
      </c>
      <c r="J20" s="6">
        <v>27.95</v>
      </c>
      <c r="K20" s="6">
        <v>31.64</v>
      </c>
      <c r="L20" s="6">
        <v>25.16</v>
      </c>
      <c r="M20" s="6">
        <v>3.4</v>
      </c>
      <c r="N20" s="6">
        <v>10.119999999999999</v>
      </c>
    </row>
    <row r="21" spans="1:14">
      <c r="A21">
        <v>2001</v>
      </c>
      <c r="B21">
        <v>8</v>
      </c>
      <c r="C21" t="s">
        <v>80</v>
      </c>
      <c r="D21" t="s">
        <v>97</v>
      </c>
      <c r="E21" s="6">
        <v>6.33</v>
      </c>
      <c r="F21" s="6">
        <v>196.37</v>
      </c>
      <c r="G21" s="6">
        <v>100.08</v>
      </c>
      <c r="H21" s="6">
        <v>21.7</v>
      </c>
      <c r="I21" s="6">
        <v>90.08</v>
      </c>
      <c r="J21" s="6">
        <v>28.26</v>
      </c>
      <c r="K21" s="6">
        <v>32.56</v>
      </c>
      <c r="L21" s="6">
        <v>25.51</v>
      </c>
      <c r="M21" s="6">
        <v>2.62</v>
      </c>
      <c r="N21" s="6">
        <v>11.53</v>
      </c>
    </row>
    <row r="22" spans="1:14">
      <c r="A22">
        <v>2001</v>
      </c>
      <c r="B22">
        <v>9</v>
      </c>
      <c r="C22" t="s">
        <v>82</v>
      </c>
      <c r="D22" t="s">
        <v>98</v>
      </c>
      <c r="E22" s="6">
        <v>5.94</v>
      </c>
      <c r="F22" s="6">
        <v>178.23</v>
      </c>
      <c r="G22" s="6">
        <v>100.46</v>
      </c>
      <c r="H22" s="6">
        <v>20.32</v>
      </c>
      <c r="I22" s="6">
        <v>86.83</v>
      </c>
      <c r="J22" s="6">
        <v>27.88</v>
      </c>
      <c r="K22" s="6">
        <v>32.89</v>
      </c>
      <c r="L22" s="6">
        <v>24.04</v>
      </c>
      <c r="M22" s="6">
        <v>1.98</v>
      </c>
      <c r="N22" s="6">
        <v>8.85</v>
      </c>
    </row>
    <row r="23" spans="1:14">
      <c r="A23">
        <v>2001</v>
      </c>
      <c r="B23">
        <v>10</v>
      </c>
      <c r="C23" t="s">
        <v>84</v>
      </c>
      <c r="D23" t="s">
        <v>99</v>
      </c>
      <c r="E23" s="6">
        <v>6.52</v>
      </c>
      <c r="F23" s="6">
        <v>202.14</v>
      </c>
      <c r="G23" s="6">
        <v>100.83</v>
      </c>
      <c r="H23" s="6">
        <v>18.690000000000001</v>
      </c>
      <c r="I23" s="6">
        <v>86.24</v>
      </c>
      <c r="J23" s="6">
        <v>26.63</v>
      </c>
      <c r="K23" s="6">
        <v>31.11</v>
      </c>
      <c r="L23" s="6">
        <v>20.93</v>
      </c>
      <c r="M23" s="6">
        <v>1.39</v>
      </c>
      <c r="N23" s="6">
        <v>6.65</v>
      </c>
    </row>
    <row r="24" spans="1:14">
      <c r="A24">
        <v>2001</v>
      </c>
      <c r="B24">
        <v>11</v>
      </c>
      <c r="C24" t="s">
        <v>86</v>
      </c>
      <c r="D24" t="s">
        <v>100</v>
      </c>
      <c r="E24" s="6">
        <v>1.1000000000000001</v>
      </c>
      <c r="F24" s="6">
        <v>32.93</v>
      </c>
      <c r="G24" s="6">
        <v>101.28</v>
      </c>
      <c r="H24" s="6">
        <v>13.8</v>
      </c>
      <c r="I24" s="6">
        <v>80.180000000000007</v>
      </c>
      <c r="J24" s="6">
        <v>22.91</v>
      </c>
      <c r="K24" s="6">
        <v>29.98</v>
      </c>
      <c r="L24" s="6">
        <v>13.88</v>
      </c>
      <c r="M24" s="6">
        <v>1.39</v>
      </c>
      <c r="N24" s="6">
        <v>8.07</v>
      </c>
    </row>
    <row r="25" spans="1:14">
      <c r="A25">
        <v>2001</v>
      </c>
      <c r="B25">
        <v>12</v>
      </c>
      <c r="C25" t="s">
        <v>88</v>
      </c>
      <c r="D25" t="s">
        <v>101</v>
      </c>
      <c r="E25" s="6">
        <v>0.36</v>
      </c>
      <c r="F25" s="6">
        <v>11.04</v>
      </c>
      <c r="G25" s="6">
        <v>101.57</v>
      </c>
      <c r="H25" s="6">
        <v>9.0500000000000007</v>
      </c>
      <c r="I25" s="6">
        <v>73.989999999999995</v>
      </c>
      <c r="J25" s="6">
        <v>17.809999999999999</v>
      </c>
      <c r="K25" s="6">
        <v>25.72</v>
      </c>
      <c r="L25" s="6">
        <v>10.47</v>
      </c>
      <c r="M25" s="6">
        <v>1.47</v>
      </c>
      <c r="N25" s="6">
        <v>7.2</v>
      </c>
    </row>
    <row r="26" spans="1:14">
      <c r="A26">
        <v>2002</v>
      </c>
      <c r="B26">
        <v>1</v>
      </c>
      <c r="C26" t="s">
        <v>62</v>
      </c>
      <c r="D26" t="s">
        <v>102</v>
      </c>
      <c r="E26" s="6">
        <v>0.46</v>
      </c>
      <c r="F26" s="6">
        <v>14.27</v>
      </c>
      <c r="G26" s="6">
        <v>101.43</v>
      </c>
      <c r="H26" s="6">
        <v>8.32</v>
      </c>
      <c r="I26" s="6">
        <v>64.48</v>
      </c>
      <c r="J26" s="6">
        <v>18.61</v>
      </c>
      <c r="K26" s="6">
        <v>29.04</v>
      </c>
      <c r="L26" s="6">
        <v>9.49</v>
      </c>
      <c r="M26" s="6">
        <v>1.46</v>
      </c>
      <c r="N26" s="6">
        <v>8.23</v>
      </c>
    </row>
    <row r="27" spans="1:14">
      <c r="A27">
        <v>2002</v>
      </c>
      <c r="B27">
        <v>2</v>
      </c>
      <c r="C27" t="s">
        <v>68</v>
      </c>
      <c r="D27" t="s">
        <v>103</v>
      </c>
      <c r="E27" s="6">
        <v>0.03</v>
      </c>
      <c r="F27" s="6">
        <v>0.8</v>
      </c>
      <c r="G27" s="6">
        <v>101.42</v>
      </c>
      <c r="H27" s="6">
        <v>7.46</v>
      </c>
      <c r="I27" s="6">
        <v>48.64</v>
      </c>
      <c r="J27" s="6">
        <v>21.86</v>
      </c>
      <c r="K27" s="6">
        <v>33.090000000000003</v>
      </c>
      <c r="L27" s="6">
        <v>10.02</v>
      </c>
      <c r="M27" s="6">
        <v>1.55</v>
      </c>
      <c r="N27" s="6">
        <v>7.32</v>
      </c>
    </row>
    <row r="28" spans="1:14">
      <c r="A28">
        <v>2002</v>
      </c>
      <c r="B28">
        <v>3</v>
      </c>
      <c r="C28" t="s">
        <v>70</v>
      </c>
      <c r="D28" t="s">
        <v>104</v>
      </c>
      <c r="E28" s="6">
        <v>2.29</v>
      </c>
      <c r="F28" s="6">
        <v>70.849999999999994</v>
      </c>
      <c r="G28" s="6">
        <v>100.92</v>
      </c>
      <c r="H28" s="6">
        <v>10.44</v>
      </c>
      <c r="I28" s="6">
        <v>49.27</v>
      </c>
      <c r="J28" s="6">
        <v>27.07</v>
      </c>
      <c r="K28" s="6">
        <v>36.880000000000003</v>
      </c>
      <c r="L28" s="6">
        <v>15.66</v>
      </c>
      <c r="M28" s="6">
        <v>1.71</v>
      </c>
      <c r="N28" s="6">
        <v>10.119999999999999</v>
      </c>
    </row>
    <row r="29" spans="1:14">
      <c r="A29">
        <v>2002</v>
      </c>
      <c r="B29">
        <v>4</v>
      </c>
      <c r="C29" t="s">
        <v>72</v>
      </c>
      <c r="D29" t="s">
        <v>105</v>
      </c>
      <c r="E29" s="6">
        <v>3.7</v>
      </c>
      <c r="F29" s="6">
        <v>110.86</v>
      </c>
      <c r="G29" s="6">
        <v>100.66</v>
      </c>
      <c r="H29" s="6">
        <v>15.68</v>
      </c>
      <c r="I29" s="6">
        <v>64.41</v>
      </c>
      <c r="J29" s="6">
        <v>29.44</v>
      </c>
      <c r="K29" s="6">
        <v>38.76</v>
      </c>
      <c r="L29" s="6">
        <v>21.5</v>
      </c>
      <c r="M29" s="6">
        <v>2.74</v>
      </c>
      <c r="N29" s="6">
        <v>10.43</v>
      </c>
    </row>
    <row r="30" spans="1:14">
      <c r="A30">
        <v>2002</v>
      </c>
      <c r="B30">
        <v>5</v>
      </c>
      <c r="C30" t="s">
        <v>74</v>
      </c>
      <c r="D30" t="s">
        <v>106</v>
      </c>
      <c r="E30" s="6">
        <v>7.35</v>
      </c>
      <c r="F30" s="6">
        <v>228</v>
      </c>
      <c r="G30" s="6">
        <v>100.2</v>
      </c>
      <c r="H30" s="6">
        <v>19.32</v>
      </c>
      <c r="I30" s="6">
        <v>75.52</v>
      </c>
      <c r="J30" s="6">
        <v>29.79</v>
      </c>
      <c r="K30" s="6">
        <v>39.64</v>
      </c>
      <c r="L30" s="6">
        <v>24</v>
      </c>
      <c r="M30" s="6">
        <v>2.91</v>
      </c>
      <c r="N30" s="6">
        <v>10.7</v>
      </c>
    </row>
    <row r="31" spans="1:14">
      <c r="A31">
        <v>2002</v>
      </c>
      <c r="B31">
        <v>6</v>
      </c>
      <c r="C31" t="s">
        <v>76</v>
      </c>
      <c r="D31" t="s">
        <v>107</v>
      </c>
      <c r="E31" s="6">
        <v>13.33</v>
      </c>
      <c r="F31" s="6">
        <v>399.96</v>
      </c>
      <c r="G31" s="6">
        <v>100.08</v>
      </c>
      <c r="H31" s="6">
        <v>21.52</v>
      </c>
      <c r="I31" s="6">
        <v>88.33</v>
      </c>
      <c r="J31" s="6">
        <v>28.49</v>
      </c>
      <c r="K31" s="6">
        <v>34</v>
      </c>
      <c r="L31" s="6">
        <v>25.07</v>
      </c>
      <c r="M31" s="6">
        <v>3.03</v>
      </c>
      <c r="N31" s="6">
        <v>14.37</v>
      </c>
    </row>
    <row r="32" spans="1:14">
      <c r="A32">
        <v>2002</v>
      </c>
      <c r="B32">
        <v>7</v>
      </c>
      <c r="C32" t="s">
        <v>78</v>
      </c>
      <c r="D32" t="s">
        <v>108</v>
      </c>
      <c r="E32" s="6">
        <v>13.85</v>
      </c>
      <c r="F32" s="6">
        <v>429.38</v>
      </c>
      <c r="G32" s="6">
        <v>99.95</v>
      </c>
      <c r="H32" s="6">
        <v>22.15</v>
      </c>
      <c r="I32" s="6">
        <v>90.81</v>
      </c>
      <c r="J32" s="6">
        <v>28.42</v>
      </c>
      <c r="K32" s="6">
        <v>33.03</v>
      </c>
      <c r="L32" s="6">
        <v>25.48</v>
      </c>
      <c r="M32" s="6">
        <v>2.87</v>
      </c>
      <c r="N32" s="6">
        <v>12.25</v>
      </c>
    </row>
    <row r="33" spans="1:14">
      <c r="A33">
        <v>2002</v>
      </c>
      <c r="B33">
        <v>8</v>
      </c>
      <c r="C33" t="s">
        <v>80</v>
      </c>
      <c r="D33" t="s">
        <v>109</v>
      </c>
      <c r="E33" s="6">
        <v>8.24</v>
      </c>
      <c r="F33" s="6">
        <v>255.33</v>
      </c>
      <c r="G33" s="6">
        <v>100.13</v>
      </c>
      <c r="H33" s="6">
        <v>21.08</v>
      </c>
      <c r="I33" s="6">
        <v>90.79</v>
      </c>
      <c r="J33" s="6">
        <v>27.63</v>
      </c>
      <c r="K33" s="6">
        <v>31.79</v>
      </c>
      <c r="L33" s="6">
        <v>24.75</v>
      </c>
      <c r="M33" s="6">
        <v>2.65</v>
      </c>
      <c r="N33" s="6">
        <v>10.72</v>
      </c>
    </row>
    <row r="34" spans="1:14">
      <c r="A34">
        <v>2002</v>
      </c>
      <c r="B34">
        <v>9</v>
      </c>
      <c r="C34" t="s">
        <v>82</v>
      </c>
      <c r="D34" t="s">
        <v>110</v>
      </c>
      <c r="E34" s="6">
        <v>5.85</v>
      </c>
      <c r="F34" s="6">
        <v>175.5</v>
      </c>
      <c r="G34" s="6">
        <v>100.56</v>
      </c>
      <c r="H34" s="6">
        <v>20</v>
      </c>
      <c r="I34" s="6">
        <v>88.35</v>
      </c>
      <c r="J34" s="6">
        <v>27.32</v>
      </c>
      <c r="K34" s="6">
        <v>32.6</v>
      </c>
      <c r="L34" s="6">
        <v>23.21</v>
      </c>
      <c r="M34" s="6">
        <v>1.89</v>
      </c>
      <c r="N34" s="6">
        <v>9.86</v>
      </c>
    </row>
    <row r="35" spans="1:14">
      <c r="A35">
        <v>2002</v>
      </c>
      <c r="B35">
        <v>10</v>
      </c>
      <c r="C35" t="s">
        <v>84</v>
      </c>
      <c r="D35" t="s">
        <v>111</v>
      </c>
      <c r="E35" s="6">
        <v>1.65</v>
      </c>
      <c r="F35" s="6">
        <v>51.27</v>
      </c>
      <c r="G35" s="6">
        <v>100.92</v>
      </c>
      <c r="H35" s="6">
        <v>16.89</v>
      </c>
      <c r="I35" s="6">
        <v>81.78</v>
      </c>
      <c r="J35" s="6">
        <v>25.79</v>
      </c>
      <c r="K35" s="6">
        <v>32.409999999999997</v>
      </c>
      <c r="L35" s="6">
        <v>18.02</v>
      </c>
      <c r="M35" s="6">
        <v>1.46</v>
      </c>
      <c r="N35" s="6">
        <v>8.4</v>
      </c>
    </row>
    <row r="36" spans="1:14">
      <c r="A36">
        <v>2002</v>
      </c>
      <c r="B36">
        <v>11</v>
      </c>
      <c r="C36" t="s">
        <v>86</v>
      </c>
      <c r="D36" t="s">
        <v>112</v>
      </c>
      <c r="E36" s="6">
        <v>4.04</v>
      </c>
      <c r="F36" s="6">
        <v>121.33</v>
      </c>
      <c r="G36" s="6">
        <v>101.17</v>
      </c>
      <c r="H36" s="6">
        <v>13.42</v>
      </c>
      <c r="I36" s="6">
        <v>79.23</v>
      </c>
      <c r="J36" s="6">
        <v>22.71</v>
      </c>
      <c r="K36" s="6">
        <v>30.16</v>
      </c>
      <c r="L36" s="6">
        <v>15.27</v>
      </c>
      <c r="M36" s="6">
        <v>1.49</v>
      </c>
      <c r="N36" s="6">
        <v>9.7200000000000006</v>
      </c>
    </row>
    <row r="37" spans="1:14">
      <c r="A37">
        <v>2002</v>
      </c>
      <c r="B37">
        <v>12</v>
      </c>
      <c r="C37" t="s">
        <v>88</v>
      </c>
      <c r="D37" t="s">
        <v>113</v>
      </c>
      <c r="E37" s="6">
        <v>0.14000000000000001</v>
      </c>
      <c r="F37" s="6">
        <v>4.26</v>
      </c>
      <c r="G37" s="6">
        <v>101.42</v>
      </c>
      <c r="H37" s="6">
        <v>9.74</v>
      </c>
      <c r="I37" s="6">
        <v>73.36</v>
      </c>
      <c r="J37" s="6">
        <v>18.96</v>
      </c>
      <c r="K37" s="6">
        <v>27.04</v>
      </c>
      <c r="L37" s="6">
        <v>9.7799999999999994</v>
      </c>
      <c r="M37" s="6">
        <v>1.38</v>
      </c>
      <c r="N37" s="6">
        <v>6.84</v>
      </c>
    </row>
    <row r="38" spans="1:14">
      <c r="A38">
        <v>2003</v>
      </c>
      <c r="B38">
        <v>1</v>
      </c>
      <c r="C38" t="s">
        <v>62</v>
      </c>
      <c r="D38" t="s">
        <v>114</v>
      </c>
      <c r="E38" s="6">
        <v>0.62</v>
      </c>
      <c r="F38" s="6">
        <v>19.079999999999998</v>
      </c>
      <c r="G38" s="6">
        <v>101.57</v>
      </c>
      <c r="H38" s="6">
        <v>7.17</v>
      </c>
      <c r="I38" s="6">
        <v>64.56</v>
      </c>
      <c r="J38" s="6">
        <v>16.5</v>
      </c>
      <c r="K38" s="6">
        <v>27.15</v>
      </c>
      <c r="L38" s="6">
        <v>7.81</v>
      </c>
      <c r="M38" s="6">
        <v>1.77</v>
      </c>
      <c r="N38" s="6">
        <v>8.0399999999999991</v>
      </c>
    </row>
    <row r="39" spans="1:14">
      <c r="A39">
        <v>2003</v>
      </c>
      <c r="B39">
        <v>2</v>
      </c>
      <c r="C39" t="s">
        <v>68</v>
      </c>
      <c r="D39" t="s">
        <v>115</v>
      </c>
      <c r="E39" s="6">
        <v>0.93</v>
      </c>
      <c r="F39" s="6">
        <v>26.04</v>
      </c>
      <c r="G39" s="6">
        <v>101.32</v>
      </c>
      <c r="H39" s="6">
        <v>9.0399999999999991</v>
      </c>
      <c r="I39" s="6">
        <v>58.69</v>
      </c>
      <c r="J39" s="6">
        <v>21.78</v>
      </c>
      <c r="K39" s="6">
        <v>32.340000000000003</v>
      </c>
      <c r="L39" s="6">
        <v>12.43</v>
      </c>
      <c r="M39" s="6">
        <v>1.59</v>
      </c>
      <c r="N39" s="6">
        <v>8.1999999999999993</v>
      </c>
    </row>
    <row r="40" spans="1:14">
      <c r="A40">
        <v>2003</v>
      </c>
      <c r="B40">
        <v>3</v>
      </c>
      <c r="C40" t="s">
        <v>70</v>
      </c>
      <c r="D40" t="s">
        <v>116</v>
      </c>
      <c r="E40" s="6">
        <v>3.64</v>
      </c>
      <c r="F40" s="6">
        <v>112.76</v>
      </c>
      <c r="G40" s="6">
        <v>101.03</v>
      </c>
      <c r="H40" s="6">
        <v>11.19</v>
      </c>
      <c r="I40" s="6">
        <v>57.71</v>
      </c>
      <c r="J40" s="6">
        <v>25.32</v>
      </c>
      <c r="K40" s="6">
        <v>35.89</v>
      </c>
      <c r="L40" s="6">
        <v>13.48</v>
      </c>
      <c r="M40" s="6">
        <v>1.56</v>
      </c>
      <c r="N40" s="6">
        <v>9.2100000000000009</v>
      </c>
    </row>
    <row r="41" spans="1:14">
      <c r="A41">
        <v>2003</v>
      </c>
      <c r="B41">
        <v>4</v>
      </c>
      <c r="C41" t="s">
        <v>72</v>
      </c>
      <c r="D41" t="s">
        <v>117</v>
      </c>
      <c r="E41" s="6">
        <v>3.59</v>
      </c>
      <c r="F41" s="6">
        <v>107.61</v>
      </c>
      <c r="G41" s="6">
        <v>100.68</v>
      </c>
      <c r="H41" s="6">
        <v>16.64</v>
      </c>
      <c r="I41" s="6">
        <v>66.87</v>
      </c>
      <c r="J41" s="6">
        <v>29.73</v>
      </c>
      <c r="K41" s="6">
        <v>37.96</v>
      </c>
      <c r="L41" s="6">
        <v>21.54</v>
      </c>
      <c r="M41" s="6">
        <v>2.5099999999999998</v>
      </c>
      <c r="N41" s="6">
        <v>11.53</v>
      </c>
    </row>
    <row r="42" spans="1:14">
      <c r="A42">
        <v>2003</v>
      </c>
      <c r="B42">
        <v>5</v>
      </c>
      <c r="C42" t="s">
        <v>74</v>
      </c>
      <c r="D42" t="s">
        <v>118</v>
      </c>
      <c r="E42" s="6">
        <v>3.98</v>
      </c>
      <c r="F42" s="6">
        <v>123.3</v>
      </c>
      <c r="G42" s="6">
        <v>100.32</v>
      </c>
      <c r="H42" s="6">
        <v>17.920000000000002</v>
      </c>
      <c r="I42" s="6">
        <v>67.150000000000006</v>
      </c>
      <c r="J42" s="6">
        <v>30.76</v>
      </c>
      <c r="K42" s="6">
        <v>40.1</v>
      </c>
      <c r="L42" s="6">
        <v>23.95</v>
      </c>
      <c r="M42" s="6">
        <v>2.5499999999999998</v>
      </c>
      <c r="N42" s="6">
        <v>11.26</v>
      </c>
    </row>
    <row r="43" spans="1:14">
      <c r="A43">
        <v>2003</v>
      </c>
      <c r="B43">
        <v>6</v>
      </c>
      <c r="C43" t="s">
        <v>76</v>
      </c>
      <c r="D43" t="s">
        <v>119</v>
      </c>
      <c r="E43" s="6">
        <v>16.89</v>
      </c>
      <c r="F43" s="6">
        <v>506.56</v>
      </c>
      <c r="G43" s="6">
        <v>99.9</v>
      </c>
      <c r="H43" s="6">
        <v>21.13</v>
      </c>
      <c r="I43" s="6">
        <v>86.17</v>
      </c>
      <c r="J43" s="6">
        <v>28.71</v>
      </c>
      <c r="K43" s="6">
        <v>39.07</v>
      </c>
      <c r="L43" s="6">
        <v>25.44</v>
      </c>
      <c r="M43" s="6">
        <v>3.87</v>
      </c>
      <c r="N43" s="6">
        <v>15.29</v>
      </c>
    </row>
    <row r="44" spans="1:14">
      <c r="A44">
        <v>2003</v>
      </c>
      <c r="B44">
        <v>7</v>
      </c>
      <c r="C44" t="s">
        <v>78</v>
      </c>
      <c r="D44" t="s">
        <v>120</v>
      </c>
      <c r="E44" s="6">
        <v>6.01</v>
      </c>
      <c r="F44" s="6">
        <v>186.19</v>
      </c>
      <c r="G44" s="6">
        <v>100.15</v>
      </c>
      <c r="H44" s="6">
        <v>21.72</v>
      </c>
      <c r="I44" s="6">
        <v>89.63</v>
      </c>
      <c r="J44" s="6">
        <v>28.38</v>
      </c>
      <c r="K44" s="6">
        <v>33.04</v>
      </c>
      <c r="L44" s="6">
        <v>25.88</v>
      </c>
      <c r="M44" s="6">
        <v>3.04</v>
      </c>
      <c r="N44" s="6">
        <v>10.84</v>
      </c>
    </row>
    <row r="45" spans="1:14">
      <c r="A45">
        <v>2003</v>
      </c>
      <c r="B45">
        <v>8</v>
      </c>
      <c r="C45" t="s">
        <v>80</v>
      </c>
      <c r="D45" t="s">
        <v>121</v>
      </c>
      <c r="E45" s="6">
        <v>5.84</v>
      </c>
      <c r="F45" s="6">
        <v>181.06</v>
      </c>
      <c r="G45" s="6">
        <v>100.15</v>
      </c>
      <c r="H45" s="6">
        <v>21.57</v>
      </c>
      <c r="I45" s="6">
        <v>88.41</v>
      </c>
      <c r="J45" s="6">
        <v>28.52</v>
      </c>
      <c r="K45" s="6">
        <v>33.31</v>
      </c>
      <c r="L45" s="6">
        <v>25.48</v>
      </c>
      <c r="M45" s="6">
        <v>2.76</v>
      </c>
      <c r="N45" s="6">
        <v>9.9499999999999993</v>
      </c>
    </row>
    <row r="46" spans="1:14">
      <c r="A46">
        <v>2003</v>
      </c>
      <c r="B46">
        <v>9</v>
      </c>
      <c r="C46" t="s">
        <v>82</v>
      </c>
      <c r="D46" t="s">
        <v>122</v>
      </c>
      <c r="E46" s="6">
        <v>6.16</v>
      </c>
      <c r="F46" s="6">
        <v>184.81</v>
      </c>
      <c r="G46" s="6">
        <v>100.42</v>
      </c>
      <c r="H46" s="6">
        <v>20.71</v>
      </c>
      <c r="I46" s="6">
        <v>88.75</v>
      </c>
      <c r="J46" s="6">
        <v>27.79</v>
      </c>
      <c r="K46" s="6">
        <v>32.04</v>
      </c>
      <c r="L46" s="6">
        <v>25.07</v>
      </c>
      <c r="M46" s="6">
        <v>1.9</v>
      </c>
      <c r="N46" s="6">
        <v>11.95</v>
      </c>
    </row>
    <row r="47" spans="1:14">
      <c r="A47">
        <v>2003</v>
      </c>
      <c r="B47">
        <v>10</v>
      </c>
      <c r="C47" t="s">
        <v>84</v>
      </c>
      <c r="D47" t="s">
        <v>123</v>
      </c>
      <c r="E47" s="6">
        <v>4.87</v>
      </c>
      <c r="F47" s="6">
        <v>150.9</v>
      </c>
      <c r="G47" s="6">
        <v>100.93</v>
      </c>
      <c r="H47" s="6">
        <v>18.43</v>
      </c>
      <c r="I47" s="6">
        <v>84.92</v>
      </c>
      <c r="J47" s="6">
        <v>26.68</v>
      </c>
      <c r="K47" s="6">
        <v>32.26</v>
      </c>
      <c r="L47" s="6">
        <v>21.28</v>
      </c>
      <c r="M47" s="6">
        <v>1.48</v>
      </c>
      <c r="N47" s="6">
        <v>8.9499999999999993</v>
      </c>
    </row>
    <row r="48" spans="1:14">
      <c r="A48">
        <v>2003</v>
      </c>
      <c r="B48">
        <v>11</v>
      </c>
      <c r="C48" t="s">
        <v>86</v>
      </c>
      <c r="D48" t="s">
        <v>124</v>
      </c>
      <c r="E48" s="6">
        <v>0.08</v>
      </c>
      <c r="F48" s="6">
        <v>2.37</v>
      </c>
      <c r="G48" s="6">
        <v>101.3</v>
      </c>
      <c r="H48" s="6">
        <v>12.45</v>
      </c>
      <c r="I48" s="6">
        <v>78.099999999999994</v>
      </c>
      <c r="J48" s="6">
        <v>21.83</v>
      </c>
      <c r="K48" s="6">
        <v>29.36</v>
      </c>
      <c r="L48" s="6">
        <v>13.59</v>
      </c>
      <c r="M48" s="6">
        <v>1.47</v>
      </c>
      <c r="N48" s="6">
        <v>6.07</v>
      </c>
    </row>
    <row r="49" spans="1:14">
      <c r="A49">
        <v>2003</v>
      </c>
      <c r="B49">
        <v>12</v>
      </c>
      <c r="C49" t="s">
        <v>88</v>
      </c>
      <c r="D49" t="s">
        <v>125</v>
      </c>
      <c r="E49" s="6">
        <v>1.28</v>
      </c>
      <c r="F49" s="6">
        <v>39.64</v>
      </c>
      <c r="G49" s="6">
        <v>101.5</v>
      </c>
      <c r="H49" s="6">
        <v>10.130000000000001</v>
      </c>
      <c r="I49" s="6">
        <v>76.72</v>
      </c>
      <c r="J49" s="6">
        <v>18.91</v>
      </c>
      <c r="K49" s="6">
        <v>27.47</v>
      </c>
      <c r="L49" s="6">
        <v>10.3</v>
      </c>
      <c r="M49" s="6">
        <v>1.64</v>
      </c>
      <c r="N49" s="6">
        <v>8.36</v>
      </c>
    </row>
    <row r="50" spans="1:14">
      <c r="A50">
        <v>2004</v>
      </c>
      <c r="B50">
        <v>1</v>
      </c>
      <c r="C50" t="s">
        <v>62</v>
      </c>
      <c r="D50" t="s">
        <v>126</v>
      </c>
      <c r="E50" s="6">
        <v>7.0000000000000007E-2</v>
      </c>
      <c r="F50" s="6">
        <v>2.2000000000000002</v>
      </c>
      <c r="G50" s="6">
        <v>101.43</v>
      </c>
      <c r="H50" s="6">
        <v>8.35</v>
      </c>
      <c r="I50" s="6">
        <v>67.88</v>
      </c>
      <c r="J50" s="6">
        <v>17.940000000000001</v>
      </c>
      <c r="K50" s="6">
        <v>27.43</v>
      </c>
      <c r="L50" s="6">
        <v>8.11</v>
      </c>
      <c r="M50" s="6">
        <v>1.63</v>
      </c>
      <c r="N50" s="6">
        <v>7.94</v>
      </c>
    </row>
    <row r="51" spans="1:14">
      <c r="A51">
        <v>2004</v>
      </c>
      <c r="B51">
        <v>2</v>
      </c>
      <c r="C51" t="s">
        <v>68</v>
      </c>
      <c r="D51" t="s">
        <v>127</v>
      </c>
      <c r="E51" s="6">
        <v>0.09</v>
      </c>
      <c r="F51" s="6">
        <v>2.7</v>
      </c>
      <c r="G51" s="6">
        <v>101.25</v>
      </c>
      <c r="H51" s="6">
        <v>8.08</v>
      </c>
      <c r="I51" s="6">
        <v>54.26</v>
      </c>
      <c r="J51" s="6">
        <v>21.38</v>
      </c>
      <c r="K51" s="6">
        <v>34.450000000000003</v>
      </c>
      <c r="L51" s="6">
        <v>9.9700000000000006</v>
      </c>
      <c r="M51" s="6">
        <v>1.57</v>
      </c>
      <c r="N51" s="6">
        <v>8.09</v>
      </c>
    </row>
    <row r="52" spans="1:14">
      <c r="A52">
        <v>2004</v>
      </c>
      <c r="B52">
        <v>3</v>
      </c>
      <c r="C52" t="s">
        <v>70</v>
      </c>
      <c r="D52" t="s">
        <v>128</v>
      </c>
      <c r="E52" s="6">
        <v>0.47</v>
      </c>
      <c r="F52" s="6">
        <v>14.57</v>
      </c>
      <c r="G52" s="6">
        <v>100.85</v>
      </c>
      <c r="H52" s="6">
        <v>11.55</v>
      </c>
      <c r="I52" s="6">
        <v>53.06</v>
      </c>
      <c r="J52" s="6">
        <v>27.54</v>
      </c>
      <c r="K52" s="6">
        <v>39.94</v>
      </c>
      <c r="L52" s="6">
        <v>15.56</v>
      </c>
      <c r="M52" s="6">
        <v>2.5299999999999998</v>
      </c>
      <c r="N52" s="6">
        <v>11.33</v>
      </c>
    </row>
    <row r="53" spans="1:14">
      <c r="A53">
        <v>2004</v>
      </c>
      <c r="B53">
        <v>4</v>
      </c>
      <c r="C53" t="s">
        <v>72</v>
      </c>
      <c r="D53" t="s">
        <v>129</v>
      </c>
      <c r="E53" s="6">
        <v>5.93</v>
      </c>
      <c r="F53" s="6">
        <v>177.77</v>
      </c>
      <c r="G53" s="6">
        <v>100.61</v>
      </c>
      <c r="H53" s="6">
        <v>16.670000000000002</v>
      </c>
      <c r="I53" s="6">
        <v>67.86</v>
      </c>
      <c r="J53" s="6">
        <v>29.37</v>
      </c>
      <c r="K53" s="6">
        <v>39.78</v>
      </c>
      <c r="L53" s="6">
        <v>22.19</v>
      </c>
      <c r="M53" s="6">
        <v>3.09</v>
      </c>
      <c r="N53" s="6">
        <v>14.71</v>
      </c>
    </row>
    <row r="54" spans="1:14">
      <c r="A54">
        <v>2004</v>
      </c>
      <c r="B54">
        <v>5</v>
      </c>
      <c r="C54" t="s">
        <v>74</v>
      </c>
      <c r="D54" t="s">
        <v>130</v>
      </c>
      <c r="E54" s="6">
        <v>3.83</v>
      </c>
      <c r="F54" s="6">
        <v>118.73</v>
      </c>
      <c r="G54" s="6">
        <v>100.24</v>
      </c>
      <c r="H54" s="6">
        <v>18.2</v>
      </c>
      <c r="I54" s="6">
        <v>68.150000000000006</v>
      </c>
      <c r="J54" s="6">
        <v>30.74</v>
      </c>
      <c r="K54" s="6">
        <v>40.32</v>
      </c>
      <c r="L54" s="6">
        <v>22.73</v>
      </c>
      <c r="M54" s="6">
        <v>2.68</v>
      </c>
      <c r="N54" s="6">
        <v>10.67</v>
      </c>
    </row>
    <row r="55" spans="1:14">
      <c r="A55">
        <v>2004</v>
      </c>
      <c r="B55">
        <v>6</v>
      </c>
      <c r="C55" t="s">
        <v>76</v>
      </c>
      <c r="D55" t="s">
        <v>131</v>
      </c>
      <c r="E55" s="6">
        <v>10.52</v>
      </c>
      <c r="F55" s="6">
        <v>315.61</v>
      </c>
      <c r="G55" s="6">
        <v>100.14</v>
      </c>
      <c r="H55" s="6">
        <v>20.6</v>
      </c>
      <c r="I55" s="6">
        <v>81.81</v>
      </c>
      <c r="J55" s="6">
        <v>29.23</v>
      </c>
      <c r="K55" s="6">
        <v>35.85</v>
      </c>
      <c r="L55" s="6">
        <v>25.25</v>
      </c>
      <c r="M55" s="6">
        <v>2.6</v>
      </c>
      <c r="N55" s="6">
        <v>13.81</v>
      </c>
    </row>
    <row r="56" spans="1:14">
      <c r="A56">
        <v>2004</v>
      </c>
      <c r="B56">
        <v>7</v>
      </c>
      <c r="C56" t="s">
        <v>78</v>
      </c>
      <c r="D56" t="s">
        <v>132</v>
      </c>
      <c r="E56" s="6">
        <v>11.09</v>
      </c>
      <c r="F56" s="6">
        <v>343.94</v>
      </c>
      <c r="G56" s="6">
        <v>100.13</v>
      </c>
      <c r="H56" s="6">
        <v>21.19</v>
      </c>
      <c r="I56" s="6">
        <v>89.51</v>
      </c>
      <c r="J56" s="6">
        <v>27.98</v>
      </c>
      <c r="K56" s="6">
        <v>33.340000000000003</v>
      </c>
      <c r="L56" s="6">
        <v>24.64</v>
      </c>
      <c r="M56" s="6">
        <v>3.2</v>
      </c>
      <c r="N56" s="6">
        <v>11.08</v>
      </c>
    </row>
    <row r="57" spans="1:14">
      <c r="A57">
        <v>2004</v>
      </c>
      <c r="B57">
        <v>8</v>
      </c>
      <c r="C57" t="s">
        <v>80</v>
      </c>
      <c r="D57" t="s">
        <v>133</v>
      </c>
      <c r="E57" s="6">
        <v>7.45</v>
      </c>
      <c r="F57" s="6">
        <v>230.97</v>
      </c>
      <c r="G57" s="6">
        <v>100.03</v>
      </c>
      <c r="H57" s="6">
        <v>21.45</v>
      </c>
      <c r="I57" s="6">
        <v>90.1</v>
      </c>
      <c r="J57" s="6">
        <v>28.05</v>
      </c>
      <c r="K57" s="6">
        <v>32.5</v>
      </c>
      <c r="L57" s="6">
        <v>25.42</v>
      </c>
      <c r="M57" s="6">
        <v>2.9</v>
      </c>
      <c r="N57" s="6">
        <v>9.68</v>
      </c>
    </row>
    <row r="58" spans="1:14">
      <c r="A58">
        <v>2004</v>
      </c>
      <c r="B58">
        <v>9</v>
      </c>
      <c r="C58" t="s">
        <v>82</v>
      </c>
      <c r="D58" t="s">
        <v>134</v>
      </c>
      <c r="E58" s="6">
        <v>22.23</v>
      </c>
      <c r="F58" s="6">
        <v>666.84</v>
      </c>
      <c r="G58" s="6">
        <v>100.56</v>
      </c>
      <c r="H58" s="6">
        <v>20.37</v>
      </c>
      <c r="I58" s="6">
        <v>90.39</v>
      </c>
      <c r="J58" s="6">
        <v>27.19</v>
      </c>
      <c r="K58" s="6">
        <v>31.6</v>
      </c>
      <c r="L58" s="6">
        <v>23.29</v>
      </c>
      <c r="M58" s="6">
        <v>2.2799999999999998</v>
      </c>
      <c r="N58" s="6">
        <v>12.89</v>
      </c>
    </row>
    <row r="59" spans="1:14">
      <c r="A59">
        <v>2004</v>
      </c>
      <c r="B59">
        <v>10</v>
      </c>
      <c r="C59" t="s">
        <v>84</v>
      </c>
      <c r="D59" t="s">
        <v>135</v>
      </c>
      <c r="E59" s="6">
        <v>5.9</v>
      </c>
      <c r="F59" s="6">
        <v>182.89</v>
      </c>
      <c r="G59" s="6">
        <v>101.13</v>
      </c>
      <c r="H59" s="6">
        <v>17.079999999999998</v>
      </c>
      <c r="I59" s="6">
        <v>86.3</v>
      </c>
      <c r="J59" s="6">
        <v>25.1</v>
      </c>
      <c r="K59" s="6">
        <v>31.22</v>
      </c>
      <c r="L59" s="6">
        <v>17.59</v>
      </c>
      <c r="M59" s="6">
        <v>1.91</v>
      </c>
      <c r="N59" s="6">
        <v>14.26</v>
      </c>
    </row>
    <row r="60" spans="1:14">
      <c r="A60">
        <v>2004</v>
      </c>
      <c r="B60">
        <v>11</v>
      </c>
      <c r="C60" t="s">
        <v>86</v>
      </c>
      <c r="D60" t="s">
        <v>136</v>
      </c>
      <c r="E60" s="6">
        <v>0.01</v>
      </c>
      <c r="F60" s="6">
        <v>0.38</v>
      </c>
      <c r="G60" s="6">
        <v>101.36</v>
      </c>
      <c r="H60" s="6">
        <v>12.41</v>
      </c>
      <c r="I60" s="6">
        <v>79.069999999999993</v>
      </c>
      <c r="J60" s="6">
        <v>21.54</v>
      </c>
      <c r="K60" s="6">
        <v>28.24</v>
      </c>
      <c r="L60" s="6">
        <v>15.13</v>
      </c>
      <c r="M60" s="6">
        <v>1.3</v>
      </c>
      <c r="N60" s="6">
        <v>6.67</v>
      </c>
    </row>
    <row r="61" spans="1:14">
      <c r="A61">
        <v>2004</v>
      </c>
      <c r="B61">
        <v>12</v>
      </c>
      <c r="C61" t="s">
        <v>88</v>
      </c>
      <c r="D61" t="s">
        <v>137</v>
      </c>
      <c r="E61" s="6">
        <v>0.01</v>
      </c>
      <c r="F61" s="6">
        <v>0.31</v>
      </c>
      <c r="G61" s="6">
        <v>101.44</v>
      </c>
      <c r="H61" s="6">
        <v>10.34</v>
      </c>
      <c r="I61" s="6">
        <v>74.47</v>
      </c>
      <c r="J61" s="6">
        <v>19.57</v>
      </c>
      <c r="K61" s="6">
        <v>26.86</v>
      </c>
      <c r="L61" s="6">
        <v>8.3800000000000008</v>
      </c>
      <c r="M61" s="6">
        <v>1.24</v>
      </c>
      <c r="N61" s="6">
        <v>7.17</v>
      </c>
    </row>
    <row r="62" spans="1:14">
      <c r="A62">
        <v>2005</v>
      </c>
      <c r="B62">
        <v>1</v>
      </c>
      <c r="C62" t="s">
        <v>62</v>
      </c>
      <c r="D62" t="s">
        <v>138</v>
      </c>
      <c r="E62" s="6">
        <v>0.2</v>
      </c>
      <c r="F62" s="6">
        <v>6.11</v>
      </c>
      <c r="G62" s="6">
        <v>101.41</v>
      </c>
      <c r="H62" s="6">
        <v>8.5399999999999991</v>
      </c>
      <c r="I62" s="6">
        <v>69.73</v>
      </c>
      <c r="J62" s="6">
        <v>17.87</v>
      </c>
      <c r="K62" s="6">
        <v>29.02</v>
      </c>
      <c r="L62" s="6">
        <v>9.6199999999999992</v>
      </c>
      <c r="M62" s="6">
        <v>1.72</v>
      </c>
      <c r="N62" s="6">
        <v>8.52</v>
      </c>
    </row>
    <row r="63" spans="1:14">
      <c r="A63">
        <v>2005</v>
      </c>
      <c r="B63">
        <v>2</v>
      </c>
      <c r="C63" t="s">
        <v>68</v>
      </c>
      <c r="D63" t="s">
        <v>139</v>
      </c>
      <c r="E63" s="6">
        <v>0.16</v>
      </c>
      <c r="F63" s="6">
        <v>4.3899999999999997</v>
      </c>
      <c r="G63" s="6">
        <v>101.23</v>
      </c>
      <c r="H63" s="6">
        <v>9.3800000000000008</v>
      </c>
      <c r="I63" s="6">
        <v>56.39</v>
      </c>
      <c r="J63" s="6">
        <v>23.07</v>
      </c>
      <c r="K63" s="6">
        <v>34.53</v>
      </c>
      <c r="L63" s="6">
        <v>9.2899999999999991</v>
      </c>
      <c r="M63" s="6">
        <v>1.95</v>
      </c>
      <c r="N63" s="6">
        <v>9.7200000000000006</v>
      </c>
    </row>
    <row r="64" spans="1:14">
      <c r="A64">
        <v>2005</v>
      </c>
      <c r="B64">
        <v>3</v>
      </c>
      <c r="C64" t="s">
        <v>70</v>
      </c>
      <c r="D64" t="s">
        <v>140</v>
      </c>
      <c r="E64" s="6">
        <v>4.28</v>
      </c>
      <c r="F64" s="6">
        <v>132.79</v>
      </c>
      <c r="G64" s="6">
        <v>100.97</v>
      </c>
      <c r="H64" s="6">
        <v>12.86</v>
      </c>
      <c r="I64" s="6">
        <v>59.21</v>
      </c>
      <c r="J64" s="6">
        <v>27.68</v>
      </c>
      <c r="K64" s="6">
        <v>38.229999999999997</v>
      </c>
      <c r="L64" s="6">
        <v>17.8</v>
      </c>
      <c r="M64" s="6">
        <v>2.2799999999999998</v>
      </c>
      <c r="N64" s="6">
        <v>12.4</v>
      </c>
    </row>
    <row r="65" spans="1:14">
      <c r="A65">
        <v>2005</v>
      </c>
      <c r="B65">
        <v>4</v>
      </c>
      <c r="C65" t="s">
        <v>72</v>
      </c>
      <c r="D65" t="s">
        <v>141</v>
      </c>
      <c r="E65" s="6">
        <v>2.93</v>
      </c>
      <c r="F65" s="6">
        <v>87.89</v>
      </c>
      <c r="G65" s="6">
        <v>100.83</v>
      </c>
      <c r="H65" s="6">
        <v>15.45</v>
      </c>
      <c r="I65" s="6">
        <v>64.37</v>
      </c>
      <c r="J65" s="6">
        <v>29.15</v>
      </c>
      <c r="K65" s="6">
        <v>38.11</v>
      </c>
      <c r="L65" s="6">
        <v>19.7</v>
      </c>
      <c r="M65" s="6">
        <v>2.17</v>
      </c>
      <c r="N65" s="6">
        <v>9.58</v>
      </c>
    </row>
    <row r="66" spans="1:14">
      <c r="A66">
        <v>2005</v>
      </c>
      <c r="B66">
        <v>5</v>
      </c>
      <c r="C66" t="s">
        <v>74</v>
      </c>
      <c r="D66" t="s">
        <v>142</v>
      </c>
      <c r="E66" s="6">
        <v>6.07</v>
      </c>
      <c r="F66" s="6">
        <v>188.04</v>
      </c>
      <c r="G66" s="6">
        <v>100.39</v>
      </c>
      <c r="H66" s="6">
        <v>18.649999999999999</v>
      </c>
      <c r="I66" s="6">
        <v>73.209999999999994</v>
      </c>
      <c r="J66" s="6">
        <v>29.69</v>
      </c>
      <c r="K66" s="6">
        <v>39.130000000000003</v>
      </c>
      <c r="L66" s="6">
        <v>22.9</v>
      </c>
      <c r="M66" s="6">
        <v>2.42</v>
      </c>
      <c r="N66" s="6">
        <v>9.7200000000000006</v>
      </c>
    </row>
    <row r="67" spans="1:14">
      <c r="A67">
        <v>2005</v>
      </c>
      <c r="B67">
        <v>6</v>
      </c>
      <c r="C67" t="s">
        <v>76</v>
      </c>
      <c r="D67" t="s">
        <v>143</v>
      </c>
      <c r="E67" s="6">
        <v>4.71</v>
      </c>
      <c r="F67" s="6">
        <v>141.16</v>
      </c>
      <c r="G67" s="6">
        <v>99.9</v>
      </c>
      <c r="H67" s="6">
        <v>20.88</v>
      </c>
      <c r="I67" s="6">
        <v>78.87</v>
      </c>
      <c r="J67" s="6">
        <v>30.08</v>
      </c>
      <c r="K67" s="6">
        <v>37.299999999999997</v>
      </c>
      <c r="L67" s="6">
        <v>25.23</v>
      </c>
      <c r="M67" s="6">
        <v>2.68</v>
      </c>
      <c r="N67" s="6">
        <v>12.03</v>
      </c>
    </row>
    <row r="68" spans="1:14">
      <c r="A68">
        <v>2005</v>
      </c>
      <c r="B68">
        <v>7</v>
      </c>
      <c r="C68" t="s">
        <v>78</v>
      </c>
      <c r="D68" t="s">
        <v>144</v>
      </c>
      <c r="E68" s="6">
        <v>12.15</v>
      </c>
      <c r="F68" s="6">
        <v>376.53</v>
      </c>
      <c r="G68" s="6">
        <v>100.09</v>
      </c>
      <c r="H68" s="6">
        <v>21.37</v>
      </c>
      <c r="I68" s="6">
        <v>88.37</v>
      </c>
      <c r="J68" s="6">
        <v>28.36</v>
      </c>
      <c r="K68" s="6">
        <v>32.82</v>
      </c>
      <c r="L68" s="6">
        <v>24.46</v>
      </c>
      <c r="M68" s="6">
        <v>2.99</v>
      </c>
      <c r="N68" s="6">
        <v>10.26</v>
      </c>
    </row>
    <row r="69" spans="1:14">
      <c r="A69">
        <v>2005</v>
      </c>
      <c r="B69">
        <v>8</v>
      </c>
      <c r="C69" t="s">
        <v>80</v>
      </c>
      <c r="D69" t="s">
        <v>145</v>
      </c>
      <c r="E69" s="6">
        <v>11.11</v>
      </c>
      <c r="F69" s="6">
        <v>344.53</v>
      </c>
      <c r="G69" s="6">
        <v>100.01</v>
      </c>
      <c r="H69" s="6">
        <v>21.68</v>
      </c>
      <c r="I69" s="6">
        <v>88.89</v>
      </c>
      <c r="J69" s="6">
        <v>28.47</v>
      </c>
      <c r="K69" s="6">
        <v>33.46</v>
      </c>
      <c r="L69" s="6">
        <v>25.51</v>
      </c>
      <c r="M69" s="6">
        <v>2.5499999999999998</v>
      </c>
      <c r="N69" s="6">
        <v>9.89</v>
      </c>
    </row>
    <row r="70" spans="1:14">
      <c r="A70">
        <v>2005</v>
      </c>
      <c r="B70">
        <v>9</v>
      </c>
      <c r="C70" t="s">
        <v>82</v>
      </c>
      <c r="D70" t="s">
        <v>146</v>
      </c>
      <c r="E70" s="6">
        <v>10.67</v>
      </c>
      <c r="F70" s="6">
        <v>320.04000000000002</v>
      </c>
      <c r="G70" s="6">
        <v>100.46</v>
      </c>
      <c r="H70" s="6">
        <v>20.71</v>
      </c>
      <c r="I70" s="6">
        <v>88.4</v>
      </c>
      <c r="J70" s="6">
        <v>27.88</v>
      </c>
      <c r="K70" s="6">
        <v>33.130000000000003</v>
      </c>
      <c r="L70" s="6">
        <v>24.54</v>
      </c>
      <c r="M70" s="6">
        <v>1.74</v>
      </c>
      <c r="N70" s="6">
        <v>11.44</v>
      </c>
    </row>
    <row r="71" spans="1:14">
      <c r="A71">
        <v>2005</v>
      </c>
      <c r="B71">
        <v>10</v>
      </c>
      <c r="C71" t="s">
        <v>84</v>
      </c>
      <c r="D71" t="s">
        <v>147</v>
      </c>
      <c r="E71" s="6">
        <v>9.4600000000000009</v>
      </c>
      <c r="F71" s="6">
        <v>293.16000000000003</v>
      </c>
      <c r="G71" s="6">
        <v>100.97</v>
      </c>
      <c r="H71" s="6">
        <v>18.05</v>
      </c>
      <c r="I71" s="6">
        <v>86.15</v>
      </c>
      <c r="J71" s="6">
        <v>26.08</v>
      </c>
      <c r="K71" s="6">
        <v>31.73</v>
      </c>
      <c r="L71" s="6">
        <v>19.23</v>
      </c>
      <c r="M71" s="6">
        <v>1.68</v>
      </c>
      <c r="N71" s="6">
        <v>10.77</v>
      </c>
    </row>
    <row r="72" spans="1:14">
      <c r="A72">
        <v>2005</v>
      </c>
      <c r="B72">
        <v>11</v>
      </c>
      <c r="C72" t="s">
        <v>86</v>
      </c>
      <c r="D72" t="s">
        <v>148</v>
      </c>
      <c r="E72" s="6">
        <v>0.13</v>
      </c>
      <c r="F72" s="6">
        <v>3.81</v>
      </c>
      <c r="G72" s="6">
        <v>101.2</v>
      </c>
      <c r="H72" s="6">
        <v>12.96</v>
      </c>
      <c r="I72" s="6">
        <v>82.53</v>
      </c>
      <c r="J72" s="6">
        <v>21.38</v>
      </c>
      <c r="K72" s="6">
        <v>28.77</v>
      </c>
      <c r="L72" s="6">
        <v>12.79</v>
      </c>
      <c r="M72" s="6">
        <v>1.53</v>
      </c>
      <c r="N72" s="6">
        <v>7.47</v>
      </c>
    </row>
    <row r="73" spans="1:14">
      <c r="A73">
        <v>2005</v>
      </c>
      <c r="B73">
        <v>12</v>
      </c>
      <c r="C73" t="s">
        <v>88</v>
      </c>
      <c r="D73" t="s">
        <v>149</v>
      </c>
      <c r="E73" s="6">
        <v>0.03</v>
      </c>
      <c r="F73" s="6">
        <v>0.99</v>
      </c>
      <c r="G73" s="6">
        <v>101.31</v>
      </c>
      <c r="H73" s="6">
        <v>10.43</v>
      </c>
      <c r="I73" s="6">
        <v>81.650000000000006</v>
      </c>
      <c r="J73" s="6">
        <v>18.12</v>
      </c>
      <c r="K73" s="6">
        <v>26.22</v>
      </c>
      <c r="L73" s="6">
        <v>10.67</v>
      </c>
      <c r="M73" s="6">
        <v>1.66</v>
      </c>
      <c r="N73" s="6">
        <v>8</v>
      </c>
    </row>
    <row r="74" spans="1:14">
      <c r="A74">
        <v>2006</v>
      </c>
      <c r="B74">
        <v>1</v>
      </c>
      <c r="C74" t="s">
        <v>62</v>
      </c>
      <c r="D74" t="s">
        <v>150</v>
      </c>
      <c r="E74" s="6">
        <v>0</v>
      </c>
      <c r="F74" s="6">
        <v>0.01</v>
      </c>
      <c r="G74" s="6">
        <v>101.38</v>
      </c>
      <c r="H74" s="6">
        <v>8.2799999999999994</v>
      </c>
      <c r="I74" s="6">
        <v>70.44</v>
      </c>
      <c r="J74" s="6">
        <v>17.260000000000002</v>
      </c>
      <c r="K74" s="6">
        <v>27.46</v>
      </c>
      <c r="L74" s="6">
        <v>8.74</v>
      </c>
      <c r="M74" s="6">
        <v>1.62</v>
      </c>
      <c r="N74" s="6">
        <v>8.82</v>
      </c>
    </row>
    <row r="75" spans="1:14">
      <c r="A75">
        <v>2006</v>
      </c>
      <c r="B75">
        <v>2</v>
      </c>
      <c r="C75" t="s">
        <v>68</v>
      </c>
      <c r="D75" t="s">
        <v>151</v>
      </c>
      <c r="E75" s="6">
        <v>0.09</v>
      </c>
      <c r="F75" s="6">
        <v>2.5099999999999998</v>
      </c>
      <c r="G75" s="6">
        <v>101.14</v>
      </c>
      <c r="H75" s="6">
        <v>10.47</v>
      </c>
      <c r="I75" s="6">
        <v>61.3</v>
      </c>
      <c r="J75" s="6">
        <v>23.66</v>
      </c>
      <c r="K75" s="6">
        <v>36.29</v>
      </c>
      <c r="L75" s="6">
        <v>13.93</v>
      </c>
      <c r="M75" s="6">
        <v>1.67</v>
      </c>
      <c r="N75" s="6">
        <v>9.49</v>
      </c>
    </row>
    <row r="76" spans="1:14">
      <c r="A76">
        <v>2006</v>
      </c>
      <c r="B76">
        <v>3</v>
      </c>
      <c r="C76" t="s">
        <v>70</v>
      </c>
      <c r="D76" t="s">
        <v>152</v>
      </c>
      <c r="E76" s="6">
        <v>0.05</v>
      </c>
      <c r="F76" s="6">
        <v>1.48</v>
      </c>
      <c r="G76" s="6">
        <v>100.89</v>
      </c>
      <c r="H76" s="6">
        <v>9.8000000000000007</v>
      </c>
      <c r="I76" s="6">
        <v>46.04</v>
      </c>
      <c r="J76" s="6">
        <v>27.67</v>
      </c>
      <c r="K76" s="6">
        <v>39.43</v>
      </c>
      <c r="L76" s="6">
        <v>17.12</v>
      </c>
      <c r="M76" s="6">
        <v>1.6</v>
      </c>
      <c r="N76" s="6">
        <v>8.14</v>
      </c>
    </row>
    <row r="77" spans="1:14">
      <c r="A77">
        <v>2006</v>
      </c>
      <c r="B77">
        <v>4</v>
      </c>
      <c r="C77" t="s">
        <v>72</v>
      </c>
      <c r="D77" t="s">
        <v>153</v>
      </c>
      <c r="E77" s="6">
        <v>4.16</v>
      </c>
      <c r="F77" s="6">
        <v>124.92</v>
      </c>
      <c r="G77" s="6">
        <v>100.6</v>
      </c>
      <c r="H77" s="6">
        <v>15.64</v>
      </c>
      <c r="I77" s="6">
        <v>61.87</v>
      </c>
      <c r="J77" s="6">
        <v>30.1</v>
      </c>
      <c r="K77" s="6">
        <v>39.03</v>
      </c>
      <c r="L77" s="6">
        <v>21.85</v>
      </c>
      <c r="M77" s="6">
        <v>2.4500000000000002</v>
      </c>
      <c r="N77" s="6">
        <v>10.23</v>
      </c>
    </row>
    <row r="78" spans="1:14">
      <c r="A78">
        <v>2006</v>
      </c>
      <c r="B78">
        <v>5</v>
      </c>
      <c r="C78" t="s">
        <v>74</v>
      </c>
      <c r="D78" t="s">
        <v>154</v>
      </c>
      <c r="E78" s="6">
        <v>9.98</v>
      </c>
      <c r="F78" s="6">
        <v>309.36</v>
      </c>
      <c r="G78" s="6">
        <v>100.38</v>
      </c>
      <c r="H78" s="6">
        <v>18.41</v>
      </c>
      <c r="I78" s="6">
        <v>71.989999999999995</v>
      </c>
      <c r="J78" s="6">
        <v>29.96</v>
      </c>
      <c r="K78" s="6">
        <v>39.56</v>
      </c>
      <c r="L78" s="6">
        <v>23.08</v>
      </c>
      <c r="M78" s="6">
        <v>2.4500000000000002</v>
      </c>
      <c r="N78" s="6">
        <v>10.6</v>
      </c>
    </row>
    <row r="79" spans="1:14">
      <c r="A79">
        <v>2006</v>
      </c>
      <c r="B79">
        <v>6</v>
      </c>
      <c r="C79" t="s">
        <v>76</v>
      </c>
      <c r="D79" t="s">
        <v>155</v>
      </c>
      <c r="E79" s="6">
        <v>9.83</v>
      </c>
      <c r="F79" s="6">
        <v>294.93</v>
      </c>
      <c r="G79" s="6">
        <v>100.15</v>
      </c>
      <c r="H79" s="6">
        <v>21.63</v>
      </c>
      <c r="I79" s="6">
        <v>89.06</v>
      </c>
      <c r="J79" s="6">
        <v>28.42</v>
      </c>
      <c r="K79" s="6">
        <v>32.92</v>
      </c>
      <c r="L79" s="6">
        <v>25.6</v>
      </c>
      <c r="M79" s="6">
        <v>2.4900000000000002</v>
      </c>
      <c r="N79" s="6">
        <v>12.65</v>
      </c>
    </row>
    <row r="80" spans="1:14">
      <c r="A80">
        <v>2006</v>
      </c>
      <c r="B80">
        <v>7</v>
      </c>
      <c r="C80" t="s">
        <v>78</v>
      </c>
      <c r="D80" t="s">
        <v>156</v>
      </c>
      <c r="E80" s="6">
        <v>8.6199999999999992</v>
      </c>
      <c r="F80" s="6">
        <v>267.16000000000003</v>
      </c>
      <c r="G80" s="6">
        <v>99.92</v>
      </c>
      <c r="H80" s="6">
        <v>21.73</v>
      </c>
      <c r="I80" s="6">
        <v>89.52</v>
      </c>
      <c r="J80" s="6">
        <v>28.36</v>
      </c>
      <c r="K80" s="6">
        <v>33.1</v>
      </c>
      <c r="L80" s="6">
        <v>25.22</v>
      </c>
      <c r="M80" s="6">
        <v>3.22</v>
      </c>
      <c r="N80" s="6">
        <v>11.02</v>
      </c>
    </row>
    <row r="81" spans="1:14">
      <c r="A81">
        <v>2006</v>
      </c>
      <c r="B81">
        <v>8</v>
      </c>
      <c r="C81" t="s">
        <v>80</v>
      </c>
      <c r="D81" t="s">
        <v>157</v>
      </c>
      <c r="E81" s="6">
        <v>7.26</v>
      </c>
      <c r="F81" s="6">
        <v>225.08</v>
      </c>
      <c r="G81" s="6">
        <v>100.13</v>
      </c>
      <c r="H81" s="6">
        <v>20.85</v>
      </c>
      <c r="I81" s="6">
        <v>88.98</v>
      </c>
      <c r="J81" s="6">
        <v>27.81</v>
      </c>
      <c r="K81" s="6">
        <v>32.44</v>
      </c>
      <c r="L81" s="6">
        <v>24.16</v>
      </c>
      <c r="M81" s="6">
        <v>2.72</v>
      </c>
      <c r="N81" s="6">
        <v>11.11</v>
      </c>
    </row>
    <row r="82" spans="1:14">
      <c r="A82">
        <v>2006</v>
      </c>
      <c r="B82">
        <v>9</v>
      </c>
      <c r="C82" t="s">
        <v>82</v>
      </c>
      <c r="D82" t="s">
        <v>158</v>
      </c>
      <c r="E82" s="6">
        <v>13.57</v>
      </c>
      <c r="F82" s="6">
        <v>407.04</v>
      </c>
      <c r="G82" s="6">
        <v>100.51</v>
      </c>
      <c r="H82" s="6">
        <v>20.350000000000001</v>
      </c>
      <c r="I82" s="6">
        <v>88.29</v>
      </c>
      <c r="J82" s="6">
        <v>27.62</v>
      </c>
      <c r="K82" s="6">
        <v>32.700000000000003</v>
      </c>
      <c r="L82" s="6">
        <v>23.91</v>
      </c>
      <c r="M82" s="6">
        <v>2.13</v>
      </c>
      <c r="N82" s="6">
        <v>12.98</v>
      </c>
    </row>
    <row r="83" spans="1:14">
      <c r="A83">
        <v>2006</v>
      </c>
      <c r="B83">
        <v>10</v>
      </c>
      <c r="C83" t="s">
        <v>84</v>
      </c>
      <c r="D83" t="s">
        <v>159</v>
      </c>
      <c r="E83" s="6">
        <v>2</v>
      </c>
      <c r="F83" s="6">
        <v>62.04</v>
      </c>
      <c r="G83" s="6">
        <v>101.01</v>
      </c>
      <c r="H83" s="6">
        <v>17.559999999999999</v>
      </c>
      <c r="I83" s="6">
        <v>82.54</v>
      </c>
      <c r="J83" s="6">
        <v>26.33</v>
      </c>
      <c r="K83" s="6">
        <v>32.369999999999997</v>
      </c>
      <c r="L83" s="6">
        <v>18.04</v>
      </c>
      <c r="M83" s="6">
        <v>1.21</v>
      </c>
      <c r="N83" s="6">
        <v>6.99</v>
      </c>
    </row>
    <row r="84" spans="1:14">
      <c r="A84">
        <v>2006</v>
      </c>
      <c r="B84">
        <v>11</v>
      </c>
      <c r="C84" t="s">
        <v>86</v>
      </c>
      <c r="D84" t="s">
        <v>160</v>
      </c>
      <c r="E84" s="6">
        <v>0.1</v>
      </c>
      <c r="F84" s="6">
        <v>3.07</v>
      </c>
      <c r="G84" s="6">
        <v>101.25</v>
      </c>
      <c r="H84" s="6">
        <v>12.84</v>
      </c>
      <c r="I84" s="6">
        <v>76.959999999999994</v>
      </c>
      <c r="J84" s="6">
        <v>22.38</v>
      </c>
      <c r="K84" s="6">
        <v>30.06</v>
      </c>
      <c r="L84" s="6">
        <v>12.17</v>
      </c>
      <c r="M84" s="6">
        <v>1.46</v>
      </c>
      <c r="N84" s="6">
        <v>6.4</v>
      </c>
    </row>
    <row r="85" spans="1:14">
      <c r="A85">
        <v>2006</v>
      </c>
      <c r="B85">
        <v>12</v>
      </c>
      <c r="C85" t="s">
        <v>88</v>
      </c>
      <c r="D85" t="s">
        <v>161</v>
      </c>
      <c r="E85" s="6">
        <v>0.01</v>
      </c>
      <c r="F85" s="6">
        <v>0.18</v>
      </c>
      <c r="G85" s="6">
        <v>101.46</v>
      </c>
      <c r="H85" s="6">
        <v>9.56</v>
      </c>
      <c r="I85" s="6">
        <v>71</v>
      </c>
      <c r="J85" s="6">
        <v>19.260000000000002</v>
      </c>
      <c r="K85" s="6">
        <v>27.72</v>
      </c>
      <c r="L85" s="6">
        <v>10.76</v>
      </c>
      <c r="M85" s="6">
        <v>1.45</v>
      </c>
      <c r="N85" s="6">
        <v>8.39</v>
      </c>
    </row>
    <row r="86" spans="1:14">
      <c r="A86">
        <v>2007</v>
      </c>
      <c r="B86">
        <v>1</v>
      </c>
      <c r="C86" t="s">
        <v>62</v>
      </c>
      <c r="D86" t="s">
        <v>162</v>
      </c>
      <c r="E86" s="6">
        <v>0</v>
      </c>
      <c r="F86" s="6">
        <v>7.0000000000000007E-2</v>
      </c>
      <c r="G86" s="6">
        <v>101.55</v>
      </c>
      <c r="H86" s="6">
        <v>7.1</v>
      </c>
      <c r="I86" s="6">
        <v>59.65</v>
      </c>
      <c r="J86" s="6">
        <v>17.559999999999999</v>
      </c>
      <c r="K86" s="6">
        <v>29.18</v>
      </c>
      <c r="L86" s="6">
        <v>9.02</v>
      </c>
      <c r="M86" s="6">
        <v>1.59</v>
      </c>
      <c r="N86" s="6">
        <v>8.61</v>
      </c>
    </row>
    <row r="87" spans="1:14">
      <c r="A87">
        <v>2007</v>
      </c>
      <c r="B87">
        <v>2</v>
      </c>
      <c r="C87" t="s">
        <v>68</v>
      </c>
      <c r="D87" t="s">
        <v>163</v>
      </c>
      <c r="E87" s="6">
        <v>1.8</v>
      </c>
      <c r="F87" s="6">
        <v>50.4</v>
      </c>
      <c r="G87" s="6">
        <v>101.28</v>
      </c>
      <c r="H87" s="6">
        <v>9.33</v>
      </c>
      <c r="I87" s="6">
        <v>61.38</v>
      </c>
      <c r="J87" s="6">
        <v>21.48</v>
      </c>
      <c r="K87" s="6">
        <v>30.44</v>
      </c>
      <c r="L87" s="6">
        <v>12.3</v>
      </c>
      <c r="M87" s="6">
        <v>1.62</v>
      </c>
      <c r="N87" s="6">
        <v>8.83</v>
      </c>
    </row>
    <row r="88" spans="1:14">
      <c r="A88">
        <v>2007</v>
      </c>
      <c r="B88">
        <v>3</v>
      </c>
      <c r="C88" t="s">
        <v>70</v>
      </c>
      <c r="D88" t="s">
        <v>164</v>
      </c>
      <c r="E88" s="6">
        <v>0.19</v>
      </c>
      <c r="F88" s="6">
        <v>5.84</v>
      </c>
      <c r="G88" s="6">
        <v>100.99</v>
      </c>
      <c r="H88" s="6">
        <v>8.9600000000000009</v>
      </c>
      <c r="I88" s="6">
        <v>45.88</v>
      </c>
      <c r="J88" s="6">
        <v>25.91</v>
      </c>
      <c r="K88" s="6">
        <v>37.47</v>
      </c>
      <c r="L88" s="6">
        <v>14.47</v>
      </c>
      <c r="M88" s="6">
        <v>1.63</v>
      </c>
      <c r="N88" s="6">
        <v>8.9600000000000009</v>
      </c>
    </row>
    <row r="89" spans="1:14">
      <c r="A89">
        <v>2007</v>
      </c>
      <c r="B89">
        <v>4</v>
      </c>
      <c r="C89" t="s">
        <v>72</v>
      </c>
      <c r="D89" t="s">
        <v>165</v>
      </c>
      <c r="E89" s="6">
        <v>6.02</v>
      </c>
      <c r="F89" s="6">
        <v>180.57</v>
      </c>
      <c r="G89" s="6">
        <v>100.73</v>
      </c>
      <c r="H89" s="6">
        <v>15.99</v>
      </c>
      <c r="I89" s="6">
        <v>65.91</v>
      </c>
      <c r="J89" s="6">
        <v>29.34</v>
      </c>
      <c r="K89" s="6">
        <v>38.89</v>
      </c>
      <c r="L89" s="6">
        <v>22.8</v>
      </c>
      <c r="M89" s="6">
        <v>2.87</v>
      </c>
      <c r="N89" s="6">
        <v>10.38</v>
      </c>
    </row>
    <row r="90" spans="1:14">
      <c r="A90">
        <v>2007</v>
      </c>
      <c r="B90">
        <v>5</v>
      </c>
      <c r="C90" t="s">
        <v>74</v>
      </c>
      <c r="D90" t="s">
        <v>166</v>
      </c>
      <c r="E90" s="6">
        <v>6.39</v>
      </c>
      <c r="F90" s="6">
        <v>198.18</v>
      </c>
      <c r="G90" s="6">
        <v>100.31</v>
      </c>
      <c r="H90" s="6">
        <v>18.77</v>
      </c>
      <c r="I90" s="6">
        <v>74.45</v>
      </c>
      <c r="J90" s="6">
        <v>29.51</v>
      </c>
      <c r="K90" s="6">
        <v>37.869999999999997</v>
      </c>
      <c r="L90" s="6">
        <v>23.44</v>
      </c>
      <c r="M90" s="6">
        <v>2.12</v>
      </c>
      <c r="N90" s="6">
        <v>10.58</v>
      </c>
    </row>
    <row r="91" spans="1:14">
      <c r="A91">
        <v>2007</v>
      </c>
      <c r="B91">
        <v>6</v>
      </c>
      <c r="C91" t="s">
        <v>76</v>
      </c>
      <c r="D91" t="s">
        <v>167</v>
      </c>
      <c r="E91" s="6">
        <v>17.91</v>
      </c>
      <c r="F91" s="6">
        <v>537.17999999999995</v>
      </c>
      <c r="G91" s="6">
        <v>100.12</v>
      </c>
      <c r="H91" s="6">
        <v>21.67</v>
      </c>
      <c r="I91" s="6">
        <v>89.26</v>
      </c>
      <c r="J91" s="6">
        <v>28.42</v>
      </c>
      <c r="K91" s="6">
        <v>33.450000000000003</v>
      </c>
      <c r="L91" s="6">
        <v>25.49</v>
      </c>
      <c r="M91" s="6">
        <v>2.82</v>
      </c>
      <c r="N91" s="6">
        <v>10.76</v>
      </c>
    </row>
    <row r="92" spans="1:14">
      <c r="A92">
        <v>2007</v>
      </c>
      <c r="B92">
        <v>7</v>
      </c>
      <c r="C92" t="s">
        <v>78</v>
      </c>
      <c r="D92" t="s">
        <v>168</v>
      </c>
      <c r="E92" s="6">
        <v>22.63</v>
      </c>
      <c r="F92" s="6">
        <v>701.57</v>
      </c>
      <c r="G92" s="6">
        <v>100.01</v>
      </c>
      <c r="H92" s="6">
        <v>21.76</v>
      </c>
      <c r="I92" s="6">
        <v>91</v>
      </c>
      <c r="J92" s="6">
        <v>28.09</v>
      </c>
      <c r="K92" s="6">
        <v>33.15</v>
      </c>
      <c r="L92" s="6">
        <v>25.35</v>
      </c>
      <c r="M92" s="6">
        <v>3.29</v>
      </c>
      <c r="N92" s="6">
        <v>12.78</v>
      </c>
    </row>
    <row r="93" spans="1:14">
      <c r="A93">
        <v>2007</v>
      </c>
      <c r="B93">
        <v>8</v>
      </c>
      <c r="C93" t="s">
        <v>80</v>
      </c>
      <c r="D93" t="s">
        <v>169</v>
      </c>
      <c r="E93" s="6">
        <v>8.7899999999999991</v>
      </c>
      <c r="F93" s="6">
        <v>272.41000000000003</v>
      </c>
      <c r="G93" s="6">
        <v>100.07</v>
      </c>
      <c r="H93" s="6">
        <v>21.47</v>
      </c>
      <c r="I93" s="6">
        <v>89.46</v>
      </c>
      <c r="J93" s="6">
        <v>28.2</v>
      </c>
      <c r="K93" s="6">
        <v>33.69</v>
      </c>
      <c r="L93" s="6">
        <v>24.81</v>
      </c>
      <c r="M93" s="6">
        <v>2.31</v>
      </c>
      <c r="N93" s="6">
        <v>12.89</v>
      </c>
    </row>
    <row r="94" spans="1:14">
      <c r="A94">
        <v>2007</v>
      </c>
      <c r="B94">
        <v>9</v>
      </c>
      <c r="C94" t="s">
        <v>82</v>
      </c>
      <c r="D94" t="s">
        <v>170</v>
      </c>
      <c r="E94" s="6">
        <v>7.61</v>
      </c>
      <c r="F94" s="6">
        <v>228.42</v>
      </c>
      <c r="G94" s="6">
        <v>100.32</v>
      </c>
      <c r="H94" s="6">
        <v>20.57</v>
      </c>
      <c r="I94" s="6">
        <v>89.75</v>
      </c>
      <c r="J94" s="6">
        <v>27.45</v>
      </c>
      <c r="K94" s="6">
        <v>32.15</v>
      </c>
      <c r="L94" s="6">
        <v>23.92</v>
      </c>
      <c r="M94" s="6">
        <v>2.12</v>
      </c>
      <c r="N94" s="6">
        <v>14.99</v>
      </c>
    </row>
    <row r="95" spans="1:14">
      <c r="A95">
        <v>2007</v>
      </c>
      <c r="B95">
        <v>10</v>
      </c>
      <c r="C95" t="s">
        <v>84</v>
      </c>
      <c r="D95" t="s">
        <v>171</v>
      </c>
      <c r="E95" s="6">
        <v>9.76</v>
      </c>
      <c r="F95" s="6">
        <v>302.66000000000003</v>
      </c>
      <c r="G95" s="6">
        <v>100.78</v>
      </c>
      <c r="H95" s="6">
        <v>17.579999999999998</v>
      </c>
      <c r="I95" s="6">
        <v>85.69</v>
      </c>
      <c r="J95" s="6">
        <v>25.57</v>
      </c>
      <c r="K95" s="6">
        <v>32.03</v>
      </c>
      <c r="L95" s="6">
        <v>17.53</v>
      </c>
      <c r="M95" s="6">
        <v>1.68</v>
      </c>
      <c r="N95" s="6">
        <v>9.68</v>
      </c>
    </row>
    <row r="96" spans="1:14">
      <c r="A96">
        <v>2007</v>
      </c>
      <c r="B96">
        <v>11</v>
      </c>
      <c r="C96" t="s">
        <v>86</v>
      </c>
      <c r="D96" t="s">
        <v>172</v>
      </c>
      <c r="E96" s="6">
        <v>2.59</v>
      </c>
      <c r="F96" s="6">
        <v>77.62</v>
      </c>
      <c r="G96" s="6">
        <v>101.14</v>
      </c>
      <c r="H96" s="6">
        <v>14.19</v>
      </c>
      <c r="I96" s="6">
        <v>84.15</v>
      </c>
      <c r="J96" s="6">
        <v>22.54</v>
      </c>
      <c r="K96" s="6">
        <v>29.07</v>
      </c>
      <c r="L96" s="6">
        <v>15.17</v>
      </c>
      <c r="M96" s="6">
        <v>1.71</v>
      </c>
      <c r="N96" s="6">
        <v>14.17</v>
      </c>
    </row>
    <row r="97" spans="1:14">
      <c r="A97">
        <v>2007</v>
      </c>
      <c r="B97">
        <v>12</v>
      </c>
      <c r="C97" t="s">
        <v>88</v>
      </c>
      <c r="D97" t="s">
        <v>173</v>
      </c>
      <c r="E97" s="6">
        <v>0</v>
      </c>
      <c r="F97" s="6">
        <v>0</v>
      </c>
      <c r="G97" s="6">
        <v>101.35</v>
      </c>
      <c r="H97" s="6">
        <v>9.81</v>
      </c>
      <c r="I97" s="6">
        <v>80.53</v>
      </c>
      <c r="J97" s="6">
        <v>17.420000000000002</v>
      </c>
      <c r="K97" s="6">
        <v>26.04</v>
      </c>
      <c r="L97" s="6">
        <v>9.48</v>
      </c>
      <c r="M97" s="6">
        <v>1.65</v>
      </c>
      <c r="N97" s="6">
        <v>7.26</v>
      </c>
    </row>
    <row r="98" spans="1:14">
      <c r="A98">
        <v>2008</v>
      </c>
      <c r="B98">
        <v>1</v>
      </c>
      <c r="C98" t="s">
        <v>62</v>
      </c>
      <c r="D98" t="s">
        <v>174</v>
      </c>
      <c r="E98" s="6">
        <v>1.05</v>
      </c>
      <c r="F98" s="6">
        <v>32.64</v>
      </c>
      <c r="G98" s="6">
        <v>101.33</v>
      </c>
      <c r="H98" s="6">
        <v>8.9700000000000006</v>
      </c>
      <c r="I98" s="6">
        <v>73.88</v>
      </c>
      <c r="J98" s="6">
        <v>17.510000000000002</v>
      </c>
      <c r="K98" s="6">
        <v>25.91</v>
      </c>
      <c r="L98" s="6">
        <v>9.93</v>
      </c>
      <c r="M98" s="6">
        <v>1.6</v>
      </c>
      <c r="N98" s="6">
        <v>7.9</v>
      </c>
    </row>
    <row r="99" spans="1:14">
      <c r="A99">
        <v>2008</v>
      </c>
      <c r="B99">
        <v>2</v>
      </c>
      <c r="C99" t="s">
        <v>68</v>
      </c>
      <c r="D99" t="s">
        <v>175</v>
      </c>
      <c r="E99" s="6">
        <v>0.63</v>
      </c>
      <c r="F99" s="6">
        <v>18.260000000000002</v>
      </c>
      <c r="G99" s="6">
        <v>101.29</v>
      </c>
      <c r="H99" s="6">
        <v>8.41</v>
      </c>
      <c r="I99" s="6">
        <v>62.53</v>
      </c>
      <c r="J99" s="6">
        <v>19.260000000000002</v>
      </c>
      <c r="K99" s="6">
        <v>30.3</v>
      </c>
      <c r="L99" s="6">
        <v>7.95</v>
      </c>
      <c r="M99" s="6">
        <v>1.47</v>
      </c>
      <c r="N99" s="6">
        <v>8.51</v>
      </c>
    </row>
    <row r="100" spans="1:14">
      <c r="A100">
        <v>2008</v>
      </c>
      <c r="B100">
        <v>3</v>
      </c>
      <c r="C100" t="s">
        <v>70</v>
      </c>
      <c r="D100" t="s">
        <v>176</v>
      </c>
      <c r="E100" s="6">
        <v>0.96</v>
      </c>
      <c r="F100" s="6">
        <v>29.81</v>
      </c>
      <c r="G100" s="6">
        <v>100.84</v>
      </c>
      <c r="H100" s="6">
        <v>12.69</v>
      </c>
      <c r="I100" s="6">
        <v>60.94</v>
      </c>
      <c r="J100" s="6">
        <v>26.87</v>
      </c>
      <c r="K100" s="6">
        <v>36.86</v>
      </c>
      <c r="L100" s="6">
        <v>16.25</v>
      </c>
      <c r="M100" s="6">
        <v>1.75</v>
      </c>
      <c r="N100" s="6">
        <v>9.68</v>
      </c>
    </row>
    <row r="101" spans="1:14">
      <c r="A101">
        <v>2008</v>
      </c>
      <c r="B101">
        <v>4</v>
      </c>
      <c r="C101" t="s">
        <v>72</v>
      </c>
      <c r="D101" t="s">
        <v>177</v>
      </c>
      <c r="E101" s="6">
        <v>1.6</v>
      </c>
      <c r="F101" s="6">
        <v>48.06</v>
      </c>
      <c r="G101" s="6">
        <v>100.58</v>
      </c>
      <c r="H101" s="6">
        <v>14.13</v>
      </c>
      <c r="I101" s="6">
        <v>56.46</v>
      </c>
      <c r="J101" s="6">
        <v>30.09</v>
      </c>
      <c r="K101" s="6">
        <v>40.32</v>
      </c>
      <c r="L101" s="6">
        <v>20.190000000000001</v>
      </c>
      <c r="M101" s="6">
        <v>2.16</v>
      </c>
      <c r="N101" s="6">
        <v>9.99</v>
      </c>
    </row>
    <row r="102" spans="1:14">
      <c r="A102">
        <v>2008</v>
      </c>
      <c r="B102">
        <v>5</v>
      </c>
      <c r="C102" t="s">
        <v>74</v>
      </c>
      <c r="D102" t="s">
        <v>178</v>
      </c>
      <c r="E102" s="6">
        <v>5.19</v>
      </c>
      <c r="F102" s="6">
        <v>160.82</v>
      </c>
      <c r="G102" s="6">
        <v>100.21</v>
      </c>
      <c r="H102" s="6">
        <v>17.77</v>
      </c>
      <c r="I102" s="6">
        <v>66.36</v>
      </c>
      <c r="J102" s="6">
        <v>30.72</v>
      </c>
      <c r="K102" s="6">
        <v>38.65</v>
      </c>
      <c r="L102" s="6">
        <v>25.48</v>
      </c>
      <c r="M102" s="6">
        <v>2.15</v>
      </c>
      <c r="N102" s="6">
        <v>9.8000000000000007</v>
      </c>
    </row>
    <row r="103" spans="1:14">
      <c r="A103">
        <v>2008</v>
      </c>
      <c r="B103">
        <v>6</v>
      </c>
      <c r="C103" t="s">
        <v>76</v>
      </c>
      <c r="D103" t="s">
        <v>179</v>
      </c>
      <c r="E103" s="6">
        <v>9.73</v>
      </c>
      <c r="F103" s="6">
        <v>292.04000000000002</v>
      </c>
      <c r="G103" s="6">
        <v>100.01</v>
      </c>
      <c r="H103" s="6">
        <v>20.68</v>
      </c>
      <c r="I103" s="6">
        <v>85.26</v>
      </c>
      <c r="J103" s="6">
        <v>28.46</v>
      </c>
      <c r="K103" s="6">
        <v>33.380000000000003</v>
      </c>
      <c r="L103" s="6">
        <v>25.44</v>
      </c>
      <c r="M103" s="6">
        <v>3.38</v>
      </c>
      <c r="N103" s="6">
        <v>13.85</v>
      </c>
    </row>
    <row r="104" spans="1:14">
      <c r="A104">
        <v>2008</v>
      </c>
      <c r="B104">
        <v>7</v>
      </c>
      <c r="C104" t="s">
        <v>78</v>
      </c>
      <c r="D104" t="s">
        <v>180</v>
      </c>
      <c r="E104" s="6">
        <v>10.17</v>
      </c>
      <c r="F104" s="6">
        <v>315.29000000000002</v>
      </c>
      <c r="G104" s="6">
        <v>100</v>
      </c>
      <c r="H104" s="6">
        <v>21.41</v>
      </c>
      <c r="I104" s="6">
        <v>89.37</v>
      </c>
      <c r="J104" s="6">
        <v>28.16</v>
      </c>
      <c r="K104" s="6">
        <v>32.270000000000003</v>
      </c>
      <c r="L104" s="6">
        <v>25.57</v>
      </c>
      <c r="M104" s="6">
        <v>3.23</v>
      </c>
      <c r="N104" s="6">
        <v>10.47</v>
      </c>
    </row>
    <row r="105" spans="1:14">
      <c r="A105">
        <v>2008</v>
      </c>
      <c r="B105">
        <v>8</v>
      </c>
      <c r="C105" t="s">
        <v>80</v>
      </c>
      <c r="D105" t="s">
        <v>181</v>
      </c>
      <c r="E105" s="6">
        <v>9.1199999999999992</v>
      </c>
      <c r="F105" s="6">
        <v>282.73</v>
      </c>
      <c r="G105" s="6">
        <v>100.17</v>
      </c>
      <c r="H105" s="6">
        <v>21.15</v>
      </c>
      <c r="I105" s="6">
        <v>89.89</v>
      </c>
      <c r="J105" s="6">
        <v>27.88</v>
      </c>
      <c r="K105" s="6">
        <v>32.35</v>
      </c>
      <c r="L105" s="6">
        <v>24.97</v>
      </c>
      <c r="M105" s="6">
        <v>2.72</v>
      </c>
      <c r="N105" s="6">
        <v>11.9</v>
      </c>
    </row>
    <row r="106" spans="1:14">
      <c r="A106">
        <v>2008</v>
      </c>
      <c r="B106">
        <v>9</v>
      </c>
      <c r="C106" t="s">
        <v>82</v>
      </c>
      <c r="D106" t="s">
        <v>182</v>
      </c>
      <c r="E106" s="6">
        <v>5.95</v>
      </c>
      <c r="F106" s="6">
        <v>178.37</v>
      </c>
      <c r="G106" s="6">
        <v>100.42</v>
      </c>
      <c r="H106" s="6">
        <v>20.39</v>
      </c>
      <c r="I106" s="6">
        <v>88.85</v>
      </c>
      <c r="J106" s="6">
        <v>27.51</v>
      </c>
      <c r="K106" s="6">
        <v>32.03</v>
      </c>
      <c r="L106" s="6">
        <v>23.83</v>
      </c>
      <c r="M106" s="6">
        <v>1.92</v>
      </c>
      <c r="N106" s="6">
        <v>10.09</v>
      </c>
    </row>
    <row r="107" spans="1:14">
      <c r="A107">
        <v>2008</v>
      </c>
      <c r="B107">
        <v>10</v>
      </c>
      <c r="C107" t="s">
        <v>84</v>
      </c>
      <c r="D107" t="s">
        <v>183</v>
      </c>
      <c r="E107" s="6">
        <v>7.26</v>
      </c>
      <c r="F107" s="6">
        <v>224.93</v>
      </c>
      <c r="G107" s="6">
        <v>100.88</v>
      </c>
      <c r="H107" s="6">
        <v>17.73</v>
      </c>
      <c r="I107" s="6">
        <v>85.13</v>
      </c>
      <c r="J107" s="6">
        <v>25.98</v>
      </c>
      <c r="K107" s="6">
        <v>31.91</v>
      </c>
      <c r="L107" s="6">
        <v>17.91</v>
      </c>
      <c r="M107" s="6">
        <v>1.76</v>
      </c>
      <c r="N107" s="6">
        <v>17.21</v>
      </c>
    </row>
    <row r="108" spans="1:14">
      <c r="A108">
        <v>2008</v>
      </c>
      <c r="B108">
        <v>11</v>
      </c>
      <c r="C108" t="s">
        <v>86</v>
      </c>
      <c r="D108" t="s">
        <v>184</v>
      </c>
      <c r="E108" s="6">
        <v>0.01</v>
      </c>
      <c r="F108" s="6">
        <v>0.24</v>
      </c>
      <c r="G108" s="6">
        <v>101.2</v>
      </c>
      <c r="H108" s="6">
        <v>12.98</v>
      </c>
      <c r="I108" s="6">
        <v>78.17</v>
      </c>
      <c r="J108" s="6">
        <v>22.42</v>
      </c>
      <c r="K108" s="6">
        <v>29.71</v>
      </c>
      <c r="L108" s="6">
        <v>15.04</v>
      </c>
      <c r="M108" s="6">
        <v>1.36</v>
      </c>
      <c r="N108" s="6">
        <v>6.91</v>
      </c>
    </row>
    <row r="109" spans="1:14">
      <c r="A109">
        <v>2008</v>
      </c>
      <c r="B109">
        <v>12</v>
      </c>
      <c r="C109" t="s">
        <v>88</v>
      </c>
      <c r="D109" t="s">
        <v>185</v>
      </c>
      <c r="E109" s="6">
        <v>0.68</v>
      </c>
      <c r="F109" s="6">
        <v>20.99</v>
      </c>
      <c r="G109" s="6">
        <v>101.33</v>
      </c>
      <c r="H109" s="6">
        <v>11.06</v>
      </c>
      <c r="I109" s="6">
        <v>76.44</v>
      </c>
      <c r="J109" s="6">
        <v>20.309999999999999</v>
      </c>
      <c r="K109" s="6">
        <v>27.9</v>
      </c>
      <c r="L109" s="6">
        <v>12.93</v>
      </c>
      <c r="M109" s="6">
        <v>1.26</v>
      </c>
      <c r="N109" s="6">
        <v>7.36</v>
      </c>
    </row>
    <row r="110" spans="1:14">
      <c r="A110">
        <v>2009</v>
      </c>
      <c r="B110">
        <v>1</v>
      </c>
      <c r="C110" t="s">
        <v>62</v>
      </c>
      <c r="D110" t="s">
        <v>186</v>
      </c>
      <c r="E110" s="6">
        <v>0.03</v>
      </c>
      <c r="F110" s="6">
        <v>0.87</v>
      </c>
      <c r="G110" s="6">
        <v>101.44</v>
      </c>
      <c r="H110" s="6">
        <v>9.2200000000000006</v>
      </c>
      <c r="I110" s="6">
        <v>67.959999999999994</v>
      </c>
      <c r="J110" s="6">
        <v>19.5</v>
      </c>
      <c r="K110" s="6">
        <v>28.93</v>
      </c>
      <c r="L110" s="6">
        <v>10.35</v>
      </c>
      <c r="M110" s="6">
        <v>1.46</v>
      </c>
      <c r="N110" s="6">
        <v>7.84</v>
      </c>
    </row>
    <row r="111" spans="1:14">
      <c r="A111">
        <v>2009</v>
      </c>
      <c r="B111">
        <v>2</v>
      </c>
      <c r="C111" t="s">
        <v>68</v>
      </c>
      <c r="D111" t="s">
        <v>187</v>
      </c>
      <c r="E111" s="6">
        <v>0.69</v>
      </c>
      <c r="F111" s="6">
        <v>19.41</v>
      </c>
      <c r="G111" s="6">
        <v>101.08</v>
      </c>
      <c r="H111" s="6">
        <v>8.3800000000000008</v>
      </c>
      <c r="I111" s="6">
        <v>54.21</v>
      </c>
      <c r="J111" s="6">
        <v>22.13</v>
      </c>
      <c r="K111" s="6">
        <v>33.950000000000003</v>
      </c>
      <c r="L111" s="6">
        <v>11.95</v>
      </c>
      <c r="M111" s="6">
        <v>1.79</v>
      </c>
      <c r="N111" s="6">
        <v>8.5500000000000007</v>
      </c>
    </row>
    <row r="112" spans="1:14">
      <c r="A112">
        <v>2009</v>
      </c>
      <c r="B112">
        <v>3</v>
      </c>
      <c r="C112" t="s">
        <v>70</v>
      </c>
      <c r="D112" t="s">
        <v>188</v>
      </c>
      <c r="E112" s="6">
        <v>1.22</v>
      </c>
      <c r="F112" s="6">
        <v>37.89</v>
      </c>
      <c r="G112" s="6">
        <v>100.86</v>
      </c>
      <c r="H112" s="6">
        <v>10.16</v>
      </c>
      <c r="I112" s="6">
        <v>48.54</v>
      </c>
      <c r="J112" s="6">
        <v>27.27</v>
      </c>
      <c r="K112" s="6">
        <v>37.04</v>
      </c>
      <c r="L112" s="6">
        <v>14.51</v>
      </c>
      <c r="M112" s="6">
        <v>1.57</v>
      </c>
      <c r="N112" s="6">
        <v>9.4600000000000009</v>
      </c>
    </row>
    <row r="113" spans="1:14">
      <c r="A113">
        <v>2009</v>
      </c>
      <c r="B113">
        <v>4</v>
      </c>
      <c r="C113" t="s">
        <v>72</v>
      </c>
      <c r="D113" t="s">
        <v>189</v>
      </c>
      <c r="E113" s="6">
        <v>1.48</v>
      </c>
      <c r="F113" s="6">
        <v>44.29</v>
      </c>
      <c r="G113" s="6">
        <v>100.54</v>
      </c>
      <c r="H113" s="6">
        <v>15.56</v>
      </c>
      <c r="I113" s="6">
        <v>60.91</v>
      </c>
      <c r="J113" s="6">
        <v>30.6</v>
      </c>
      <c r="K113" s="6">
        <v>39.76</v>
      </c>
      <c r="L113" s="6">
        <v>23</v>
      </c>
      <c r="M113" s="6">
        <v>2.7</v>
      </c>
      <c r="N113" s="6">
        <v>10.7</v>
      </c>
    </row>
    <row r="114" spans="1:14">
      <c r="A114">
        <v>2009</v>
      </c>
      <c r="B114">
        <v>5</v>
      </c>
      <c r="C114" t="s">
        <v>74</v>
      </c>
      <c r="D114" t="s">
        <v>190</v>
      </c>
      <c r="E114" s="6">
        <v>7.98</v>
      </c>
      <c r="F114" s="6">
        <v>247.39</v>
      </c>
      <c r="G114" s="6">
        <v>100.32</v>
      </c>
      <c r="H114" s="6">
        <v>18.78</v>
      </c>
      <c r="I114" s="6">
        <v>73.290000000000006</v>
      </c>
      <c r="J114" s="6">
        <v>29.86</v>
      </c>
      <c r="K114" s="6">
        <v>38.549999999999997</v>
      </c>
      <c r="L114" s="6">
        <v>24.59</v>
      </c>
      <c r="M114" s="6">
        <v>2.69</v>
      </c>
      <c r="N114" s="6">
        <v>19.84</v>
      </c>
    </row>
    <row r="115" spans="1:14">
      <c r="A115">
        <v>2009</v>
      </c>
      <c r="B115">
        <v>6</v>
      </c>
      <c r="C115" t="s">
        <v>76</v>
      </c>
      <c r="D115" t="s">
        <v>191</v>
      </c>
      <c r="E115" s="6">
        <v>9.2100000000000009</v>
      </c>
      <c r="F115" s="6">
        <v>276.31</v>
      </c>
      <c r="G115" s="6">
        <v>100.01</v>
      </c>
      <c r="H115" s="6">
        <v>21.41</v>
      </c>
      <c r="I115" s="6">
        <v>85.43</v>
      </c>
      <c r="J115" s="6">
        <v>29.03</v>
      </c>
      <c r="K115" s="6">
        <v>34.26</v>
      </c>
      <c r="L115" s="6">
        <v>25.46</v>
      </c>
      <c r="M115" s="6">
        <v>2.77</v>
      </c>
      <c r="N115" s="6">
        <v>9.49</v>
      </c>
    </row>
    <row r="116" spans="1:14">
      <c r="A116">
        <v>2009</v>
      </c>
      <c r="B116">
        <v>7</v>
      </c>
      <c r="C116" t="s">
        <v>78</v>
      </c>
      <c r="D116" t="s">
        <v>192</v>
      </c>
      <c r="E116" s="6">
        <v>15.46</v>
      </c>
      <c r="F116" s="6">
        <v>479.34</v>
      </c>
      <c r="G116" s="6">
        <v>99.91</v>
      </c>
      <c r="H116" s="6">
        <v>21.75</v>
      </c>
      <c r="I116" s="6">
        <v>88.78</v>
      </c>
      <c r="J116" s="6">
        <v>28.53</v>
      </c>
      <c r="K116" s="6">
        <v>32.92</v>
      </c>
      <c r="L116" s="6">
        <v>25.72</v>
      </c>
      <c r="M116" s="6">
        <v>3.08</v>
      </c>
      <c r="N116" s="6">
        <v>11.87</v>
      </c>
    </row>
    <row r="117" spans="1:14">
      <c r="A117">
        <v>2009</v>
      </c>
      <c r="B117">
        <v>8</v>
      </c>
      <c r="C117" t="s">
        <v>80</v>
      </c>
      <c r="D117" t="s">
        <v>193</v>
      </c>
      <c r="E117" s="6">
        <v>13.69</v>
      </c>
      <c r="F117" s="6">
        <v>424.5</v>
      </c>
      <c r="G117" s="6">
        <v>100.26</v>
      </c>
      <c r="H117" s="6">
        <v>21.45</v>
      </c>
      <c r="I117" s="6">
        <v>88.84</v>
      </c>
      <c r="J117" s="6">
        <v>28.33</v>
      </c>
      <c r="K117" s="6">
        <v>34.119999999999997</v>
      </c>
      <c r="L117" s="6">
        <v>24.41</v>
      </c>
      <c r="M117" s="6">
        <v>2.34</v>
      </c>
      <c r="N117" s="6">
        <v>9.99</v>
      </c>
    </row>
    <row r="118" spans="1:14">
      <c r="A118">
        <v>2009</v>
      </c>
      <c r="B118">
        <v>9</v>
      </c>
      <c r="C118" t="s">
        <v>82</v>
      </c>
      <c r="D118" t="s">
        <v>194</v>
      </c>
      <c r="E118" s="6">
        <v>7.07</v>
      </c>
      <c r="F118" s="6">
        <v>212.11</v>
      </c>
      <c r="G118" s="6">
        <v>100.42</v>
      </c>
      <c r="H118" s="6">
        <v>20.75</v>
      </c>
      <c r="I118" s="6">
        <v>89.23</v>
      </c>
      <c r="J118" s="6">
        <v>27.74</v>
      </c>
      <c r="K118" s="6">
        <v>32.99</v>
      </c>
      <c r="L118" s="6">
        <v>24.36</v>
      </c>
      <c r="M118" s="6">
        <v>2</v>
      </c>
      <c r="N118" s="6">
        <v>12.74</v>
      </c>
    </row>
    <row r="119" spans="1:14">
      <c r="A119">
        <v>2009</v>
      </c>
      <c r="B119">
        <v>10</v>
      </c>
      <c r="C119" t="s">
        <v>84</v>
      </c>
      <c r="D119" t="s">
        <v>195</v>
      </c>
      <c r="E119" s="6">
        <v>4.42</v>
      </c>
      <c r="F119" s="6">
        <v>136.93</v>
      </c>
      <c r="G119" s="6">
        <v>100.82</v>
      </c>
      <c r="H119" s="6">
        <v>17.57</v>
      </c>
      <c r="I119" s="6">
        <v>85.6</v>
      </c>
      <c r="J119" s="6">
        <v>25.63</v>
      </c>
      <c r="K119" s="6">
        <v>31.02</v>
      </c>
      <c r="L119" s="6">
        <v>18.66</v>
      </c>
      <c r="M119" s="6">
        <v>1.71</v>
      </c>
      <c r="N119" s="6">
        <v>10.96</v>
      </c>
    </row>
    <row r="120" spans="1:14">
      <c r="A120">
        <v>2009</v>
      </c>
      <c r="B120">
        <v>11</v>
      </c>
      <c r="C120" t="s">
        <v>86</v>
      </c>
      <c r="D120" t="s">
        <v>196</v>
      </c>
      <c r="E120" s="6">
        <v>0.87</v>
      </c>
      <c r="F120" s="6">
        <v>26.16</v>
      </c>
      <c r="G120" s="6">
        <v>101.2</v>
      </c>
      <c r="H120" s="6">
        <v>13.68</v>
      </c>
      <c r="I120" s="6">
        <v>80.09</v>
      </c>
      <c r="J120" s="6">
        <v>22.69</v>
      </c>
      <c r="K120" s="6">
        <v>30.18</v>
      </c>
      <c r="L120" s="6">
        <v>12.87</v>
      </c>
      <c r="M120" s="6">
        <v>1.43</v>
      </c>
      <c r="N120" s="6">
        <v>7.74</v>
      </c>
    </row>
    <row r="121" spans="1:14">
      <c r="A121">
        <v>2009</v>
      </c>
      <c r="B121">
        <v>12</v>
      </c>
      <c r="C121" t="s">
        <v>88</v>
      </c>
      <c r="D121" t="s">
        <v>197</v>
      </c>
      <c r="E121" s="6">
        <v>0.04</v>
      </c>
      <c r="F121" s="6">
        <v>1.36</v>
      </c>
      <c r="G121" s="6">
        <v>101.43</v>
      </c>
      <c r="H121" s="6">
        <v>9.74</v>
      </c>
      <c r="I121" s="6">
        <v>75.430000000000007</v>
      </c>
      <c r="J121" s="6">
        <v>18.48</v>
      </c>
      <c r="K121" s="6">
        <v>26.76</v>
      </c>
      <c r="L121" s="6">
        <v>9.6</v>
      </c>
      <c r="M121" s="6">
        <v>1.45</v>
      </c>
      <c r="N121" s="6">
        <v>7.93</v>
      </c>
    </row>
    <row r="122" spans="1:14">
      <c r="A122">
        <v>2010</v>
      </c>
      <c r="B122">
        <v>1</v>
      </c>
      <c r="C122" t="s">
        <v>62</v>
      </c>
      <c r="D122" t="s">
        <v>198</v>
      </c>
      <c r="E122" s="6">
        <v>0</v>
      </c>
      <c r="F122" s="6">
        <v>0.02</v>
      </c>
      <c r="G122" s="6">
        <v>101.5</v>
      </c>
      <c r="H122" s="6">
        <v>7.77</v>
      </c>
      <c r="I122" s="6">
        <v>65.900000000000006</v>
      </c>
      <c r="J122" s="6">
        <v>17.579999999999998</v>
      </c>
      <c r="K122" s="6">
        <v>27.96</v>
      </c>
      <c r="L122" s="6">
        <v>9.3800000000000008</v>
      </c>
      <c r="M122" s="6">
        <v>1.89</v>
      </c>
      <c r="N122" s="6">
        <v>9.34</v>
      </c>
    </row>
    <row r="123" spans="1:14">
      <c r="A123">
        <v>2010</v>
      </c>
      <c r="B123">
        <v>2</v>
      </c>
      <c r="C123" t="s">
        <v>68</v>
      </c>
      <c r="D123" t="s">
        <v>199</v>
      </c>
      <c r="E123" s="6">
        <v>0.81</v>
      </c>
      <c r="F123" s="6">
        <v>22.66</v>
      </c>
      <c r="G123" s="6">
        <v>101.25</v>
      </c>
      <c r="H123" s="6">
        <v>7.88</v>
      </c>
      <c r="I123" s="6">
        <v>51.39</v>
      </c>
      <c r="J123" s="6">
        <v>21.55</v>
      </c>
      <c r="K123" s="6">
        <v>31.8</v>
      </c>
      <c r="L123" s="6">
        <v>11.01</v>
      </c>
      <c r="M123" s="6">
        <v>1.61</v>
      </c>
      <c r="N123" s="6">
        <v>8.01</v>
      </c>
    </row>
    <row r="124" spans="1:14">
      <c r="A124">
        <v>2010</v>
      </c>
      <c r="B124">
        <v>3</v>
      </c>
      <c r="C124" t="s">
        <v>70</v>
      </c>
      <c r="D124" t="s">
        <v>200</v>
      </c>
      <c r="E124" s="6">
        <v>0.94</v>
      </c>
      <c r="F124" s="6">
        <v>29.18</v>
      </c>
      <c r="G124" s="6">
        <v>100.87</v>
      </c>
      <c r="H124" s="6">
        <v>11.91</v>
      </c>
      <c r="I124" s="6">
        <v>52.84</v>
      </c>
      <c r="J124" s="6">
        <v>28.22</v>
      </c>
      <c r="K124" s="6">
        <v>38.19</v>
      </c>
      <c r="L124" s="6">
        <v>17.489999999999998</v>
      </c>
      <c r="M124" s="6">
        <v>2.63</v>
      </c>
      <c r="N124" s="6">
        <v>12.62</v>
      </c>
    </row>
    <row r="125" spans="1:14">
      <c r="A125">
        <v>2010</v>
      </c>
      <c r="B125">
        <v>4</v>
      </c>
      <c r="C125" t="s">
        <v>72</v>
      </c>
      <c r="D125" t="s">
        <v>201</v>
      </c>
      <c r="E125" s="6">
        <v>2.33</v>
      </c>
      <c r="F125" s="6">
        <v>69.88</v>
      </c>
      <c r="G125" s="6">
        <v>100.61</v>
      </c>
      <c r="H125" s="6">
        <v>17.170000000000002</v>
      </c>
      <c r="I125" s="6">
        <v>64.260000000000005</v>
      </c>
      <c r="J125" s="6">
        <v>31.1</v>
      </c>
      <c r="K125" s="6">
        <v>41.5</v>
      </c>
      <c r="L125" s="6">
        <v>24.53</v>
      </c>
      <c r="M125" s="6">
        <v>3.71</v>
      </c>
      <c r="N125" s="6">
        <v>13.39</v>
      </c>
    </row>
    <row r="126" spans="1:14">
      <c r="A126">
        <v>2010</v>
      </c>
      <c r="B126">
        <v>5</v>
      </c>
      <c r="C126" t="s">
        <v>74</v>
      </c>
      <c r="D126" t="s">
        <v>202</v>
      </c>
      <c r="E126" s="6">
        <v>9.86</v>
      </c>
      <c r="F126" s="6">
        <v>305.72000000000003</v>
      </c>
      <c r="G126" s="6">
        <v>100.32</v>
      </c>
      <c r="H126" s="6">
        <v>19.55</v>
      </c>
      <c r="I126" s="6">
        <v>76.53</v>
      </c>
      <c r="J126" s="6">
        <v>29.73</v>
      </c>
      <c r="K126" s="6">
        <v>39.24</v>
      </c>
      <c r="L126" s="6">
        <v>24.35</v>
      </c>
      <c r="M126" s="6">
        <v>2.94</v>
      </c>
      <c r="N126" s="6">
        <v>11.14</v>
      </c>
    </row>
    <row r="127" spans="1:14">
      <c r="A127">
        <v>2010</v>
      </c>
      <c r="B127">
        <v>6</v>
      </c>
      <c r="C127" t="s">
        <v>76</v>
      </c>
      <c r="D127" t="s">
        <v>203</v>
      </c>
      <c r="E127" s="6">
        <v>14.13</v>
      </c>
      <c r="F127" s="6">
        <v>424</v>
      </c>
      <c r="G127" s="6">
        <v>100.17</v>
      </c>
      <c r="H127" s="6">
        <v>22.14</v>
      </c>
      <c r="I127" s="6">
        <v>90.02</v>
      </c>
      <c r="J127" s="6">
        <v>28.63</v>
      </c>
      <c r="K127" s="6">
        <v>32.520000000000003</v>
      </c>
      <c r="L127" s="6">
        <v>25.91</v>
      </c>
      <c r="M127" s="6">
        <v>3.33</v>
      </c>
      <c r="N127" s="6">
        <v>12.1</v>
      </c>
    </row>
    <row r="128" spans="1:14">
      <c r="A128">
        <v>2010</v>
      </c>
      <c r="B128">
        <v>7</v>
      </c>
      <c r="C128" t="s">
        <v>78</v>
      </c>
      <c r="D128" t="s">
        <v>204</v>
      </c>
      <c r="E128" s="6">
        <v>6.32</v>
      </c>
      <c r="F128" s="6">
        <v>195.8</v>
      </c>
      <c r="G128" s="6">
        <v>100.26</v>
      </c>
      <c r="H128" s="6">
        <v>21.63</v>
      </c>
      <c r="I128" s="6">
        <v>89.27</v>
      </c>
      <c r="J128" s="6">
        <v>28.41</v>
      </c>
      <c r="K128" s="6">
        <v>32.97</v>
      </c>
      <c r="L128" s="6">
        <v>25.5</v>
      </c>
      <c r="M128" s="6">
        <v>2.96</v>
      </c>
      <c r="N128" s="6">
        <v>11.99</v>
      </c>
    </row>
    <row r="129" spans="1:14">
      <c r="A129">
        <v>2010</v>
      </c>
      <c r="B129">
        <v>8</v>
      </c>
      <c r="C129" t="s">
        <v>80</v>
      </c>
      <c r="D129" t="s">
        <v>205</v>
      </c>
      <c r="E129" s="6">
        <v>8.5500000000000007</v>
      </c>
      <c r="F129" s="6">
        <v>265.08999999999997</v>
      </c>
      <c r="G129" s="6">
        <v>100.35</v>
      </c>
      <c r="H129" s="6">
        <v>21.14</v>
      </c>
      <c r="I129" s="6">
        <v>88.33</v>
      </c>
      <c r="J129" s="6">
        <v>28.24</v>
      </c>
      <c r="K129" s="6">
        <v>33.18</v>
      </c>
      <c r="L129" s="6">
        <v>25.34</v>
      </c>
      <c r="M129" s="6">
        <v>2.27</v>
      </c>
      <c r="N129" s="6">
        <v>8.17</v>
      </c>
    </row>
    <row r="130" spans="1:14">
      <c r="A130">
        <v>2010</v>
      </c>
      <c r="B130">
        <v>9</v>
      </c>
      <c r="C130" t="s">
        <v>82</v>
      </c>
      <c r="D130" t="s">
        <v>206</v>
      </c>
      <c r="E130" s="6">
        <v>6.38</v>
      </c>
      <c r="F130" s="6">
        <v>191.53</v>
      </c>
      <c r="G130" s="6">
        <v>100.51</v>
      </c>
      <c r="H130" s="6">
        <v>20.62</v>
      </c>
      <c r="I130" s="6">
        <v>89.18</v>
      </c>
      <c r="J130" s="6">
        <v>27.65</v>
      </c>
      <c r="K130" s="6">
        <v>32.31</v>
      </c>
      <c r="L130" s="6">
        <v>24.37</v>
      </c>
      <c r="M130" s="6">
        <v>1.94</v>
      </c>
      <c r="N130" s="6">
        <v>8.27</v>
      </c>
    </row>
    <row r="131" spans="1:14">
      <c r="A131">
        <v>2010</v>
      </c>
      <c r="B131">
        <v>10</v>
      </c>
      <c r="C131" t="s">
        <v>84</v>
      </c>
      <c r="D131" t="s">
        <v>207</v>
      </c>
      <c r="E131" s="6">
        <v>7.71</v>
      </c>
      <c r="F131" s="6">
        <v>239.06</v>
      </c>
      <c r="G131" s="6">
        <v>100.64</v>
      </c>
      <c r="H131" s="6">
        <v>18.77</v>
      </c>
      <c r="I131" s="6">
        <v>86.36</v>
      </c>
      <c r="J131" s="6">
        <v>26.61</v>
      </c>
      <c r="K131" s="6">
        <v>32.81</v>
      </c>
      <c r="L131" s="6">
        <v>19.22</v>
      </c>
      <c r="M131" s="6">
        <v>1.67</v>
      </c>
      <c r="N131" s="6">
        <v>12.7</v>
      </c>
    </row>
    <row r="132" spans="1:14">
      <c r="A132">
        <v>2010</v>
      </c>
      <c r="B132">
        <v>11</v>
      </c>
      <c r="C132" t="s">
        <v>86</v>
      </c>
      <c r="D132" t="s">
        <v>208</v>
      </c>
      <c r="E132" s="6">
        <v>0.54</v>
      </c>
      <c r="F132" s="6">
        <v>16.309999999999999</v>
      </c>
      <c r="G132" s="6">
        <v>101.1</v>
      </c>
      <c r="H132" s="6">
        <v>14.37</v>
      </c>
      <c r="I132" s="6">
        <v>79.03</v>
      </c>
      <c r="J132" s="6">
        <v>23.78</v>
      </c>
      <c r="K132" s="6">
        <v>30.59</v>
      </c>
      <c r="L132" s="6">
        <v>14.27</v>
      </c>
      <c r="M132" s="6">
        <v>1.33</v>
      </c>
      <c r="N132" s="6">
        <v>7.92</v>
      </c>
    </row>
    <row r="133" spans="1:14">
      <c r="A133">
        <v>2010</v>
      </c>
      <c r="B133">
        <v>12</v>
      </c>
      <c r="C133" t="s">
        <v>88</v>
      </c>
      <c r="D133" t="s">
        <v>209</v>
      </c>
      <c r="E133" s="6">
        <v>2.19</v>
      </c>
      <c r="F133" s="6">
        <v>67.790000000000006</v>
      </c>
      <c r="G133" s="6">
        <v>101.11</v>
      </c>
      <c r="H133" s="6">
        <v>10.27</v>
      </c>
      <c r="I133" s="6">
        <v>77.540000000000006</v>
      </c>
      <c r="J133" s="6">
        <v>18.63</v>
      </c>
      <c r="K133" s="6">
        <v>27.34</v>
      </c>
      <c r="L133" s="6">
        <v>9.85</v>
      </c>
      <c r="M133" s="6">
        <v>1.66</v>
      </c>
      <c r="N133" s="6">
        <v>7.54</v>
      </c>
    </row>
    <row r="134" spans="1:14">
      <c r="A134">
        <v>2011</v>
      </c>
      <c r="B134">
        <v>1</v>
      </c>
      <c r="C134" t="s">
        <v>62</v>
      </c>
      <c r="D134" t="s">
        <v>210</v>
      </c>
      <c r="E134" s="6">
        <v>0</v>
      </c>
      <c r="F134" s="6">
        <v>0.11</v>
      </c>
      <c r="G134" s="6">
        <v>101.29</v>
      </c>
      <c r="H134" s="6">
        <v>7.96</v>
      </c>
      <c r="I134" s="6">
        <v>68.44</v>
      </c>
      <c r="J134" s="6">
        <v>16.89</v>
      </c>
      <c r="K134" s="6">
        <v>27.55</v>
      </c>
      <c r="L134" s="6">
        <v>7.91</v>
      </c>
      <c r="M134" s="6">
        <v>1.7</v>
      </c>
      <c r="N134" s="6">
        <v>8.27</v>
      </c>
    </row>
    <row r="135" spans="1:14">
      <c r="A135">
        <v>2011</v>
      </c>
      <c r="B135">
        <v>2</v>
      </c>
      <c r="C135" t="s">
        <v>68</v>
      </c>
      <c r="D135" t="s">
        <v>211</v>
      </c>
      <c r="E135" s="6">
        <v>0.06</v>
      </c>
      <c r="F135" s="6">
        <v>1.59</v>
      </c>
      <c r="G135" s="6">
        <v>101.14</v>
      </c>
      <c r="H135" s="6">
        <v>8.5299999999999994</v>
      </c>
      <c r="I135" s="6">
        <v>55.09</v>
      </c>
      <c r="J135" s="6">
        <v>21.81</v>
      </c>
      <c r="K135" s="6">
        <v>31.71</v>
      </c>
      <c r="L135" s="6">
        <v>12.19</v>
      </c>
      <c r="M135" s="6">
        <v>1.78</v>
      </c>
      <c r="N135" s="6">
        <v>10.62</v>
      </c>
    </row>
    <row r="136" spans="1:14">
      <c r="A136">
        <v>2011</v>
      </c>
      <c r="B136">
        <v>3</v>
      </c>
      <c r="C136" t="s">
        <v>70</v>
      </c>
      <c r="D136" t="s">
        <v>212</v>
      </c>
      <c r="E136" s="6">
        <v>1.47</v>
      </c>
      <c r="F136" s="6">
        <v>45.55</v>
      </c>
      <c r="G136" s="6">
        <v>100.87</v>
      </c>
      <c r="H136" s="6">
        <v>11.41</v>
      </c>
      <c r="I136" s="6">
        <v>54.4</v>
      </c>
      <c r="J136" s="6">
        <v>26.89</v>
      </c>
      <c r="K136" s="6">
        <v>36.79</v>
      </c>
      <c r="L136" s="6">
        <v>14.32</v>
      </c>
      <c r="M136" s="6">
        <v>2.5299999999999998</v>
      </c>
      <c r="N136" s="6">
        <v>13.46</v>
      </c>
    </row>
    <row r="137" spans="1:14">
      <c r="A137">
        <v>2011</v>
      </c>
      <c r="B137">
        <v>4</v>
      </c>
      <c r="C137" t="s">
        <v>72</v>
      </c>
      <c r="D137" t="s">
        <v>213</v>
      </c>
      <c r="E137" s="6">
        <v>2.98</v>
      </c>
      <c r="F137" s="6">
        <v>89.47</v>
      </c>
      <c r="G137" s="6">
        <v>100.78</v>
      </c>
      <c r="H137" s="6">
        <v>14.69</v>
      </c>
      <c r="I137" s="6">
        <v>61.7</v>
      </c>
      <c r="J137" s="6">
        <v>29.09</v>
      </c>
      <c r="K137" s="6">
        <v>38.33</v>
      </c>
      <c r="L137" s="6">
        <v>21.12</v>
      </c>
      <c r="M137" s="6">
        <v>1.88</v>
      </c>
      <c r="N137" s="6">
        <v>9.0500000000000007</v>
      </c>
    </row>
    <row r="138" spans="1:14">
      <c r="A138">
        <v>2011</v>
      </c>
      <c r="B138">
        <v>5</v>
      </c>
      <c r="C138" t="s">
        <v>74</v>
      </c>
      <c r="D138" t="s">
        <v>214</v>
      </c>
      <c r="E138" s="6">
        <v>9.7100000000000009</v>
      </c>
      <c r="F138" s="6">
        <v>301.07</v>
      </c>
      <c r="G138" s="6">
        <v>100.36</v>
      </c>
      <c r="H138" s="6">
        <v>19.45</v>
      </c>
      <c r="I138" s="6">
        <v>78.23</v>
      </c>
      <c r="J138" s="6">
        <v>29.21</v>
      </c>
      <c r="K138" s="6">
        <v>36.729999999999997</v>
      </c>
      <c r="L138" s="6">
        <v>24.41</v>
      </c>
      <c r="M138" s="6">
        <v>2.5499999999999998</v>
      </c>
      <c r="N138" s="6">
        <v>9.4</v>
      </c>
    </row>
    <row r="139" spans="1:14">
      <c r="A139">
        <v>2011</v>
      </c>
      <c r="B139">
        <v>6</v>
      </c>
      <c r="C139" t="s">
        <v>76</v>
      </c>
      <c r="D139" t="s">
        <v>215</v>
      </c>
      <c r="E139" s="6">
        <v>10.69</v>
      </c>
      <c r="F139" s="6">
        <v>320.67</v>
      </c>
      <c r="G139" s="6">
        <v>99.93</v>
      </c>
      <c r="H139" s="6">
        <v>21.26</v>
      </c>
      <c r="I139" s="6">
        <v>87.11</v>
      </c>
      <c r="J139" s="6">
        <v>28.52</v>
      </c>
      <c r="K139" s="6">
        <v>33.380000000000003</v>
      </c>
      <c r="L139" s="6">
        <v>24.79</v>
      </c>
      <c r="M139" s="6">
        <v>2.71</v>
      </c>
      <c r="N139" s="6">
        <v>13.19</v>
      </c>
    </row>
    <row r="140" spans="1:14">
      <c r="A140">
        <v>2011</v>
      </c>
      <c r="B140">
        <v>7</v>
      </c>
      <c r="C140" t="s">
        <v>78</v>
      </c>
      <c r="D140" t="s">
        <v>216</v>
      </c>
      <c r="E140" s="6">
        <v>7.52</v>
      </c>
      <c r="F140" s="6">
        <v>233.12</v>
      </c>
      <c r="G140" s="6">
        <v>100.09</v>
      </c>
      <c r="H140" s="6">
        <v>21.18</v>
      </c>
      <c r="I140" s="6">
        <v>88.01</v>
      </c>
      <c r="J140" s="6">
        <v>28.28</v>
      </c>
      <c r="K140" s="6">
        <v>33.68</v>
      </c>
      <c r="L140" s="6">
        <v>25.06</v>
      </c>
      <c r="M140" s="6">
        <v>2.85</v>
      </c>
      <c r="N140" s="6">
        <v>11.35</v>
      </c>
    </row>
    <row r="141" spans="1:14">
      <c r="A141">
        <v>2011</v>
      </c>
      <c r="B141">
        <v>8</v>
      </c>
      <c r="C141" t="s">
        <v>80</v>
      </c>
      <c r="D141" t="s">
        <v>217</v>
      </c>
      <c r="E141" s="6">
        <v>14.66</v>
      </c>
      <c r="F141" s="6">
        <v>454.53</v>
      </c>
      <c r="G141" s="6">
        <v>100.22</v>
      </c>
      <c r="H141" s="6">
        <v>21.11</v>
      </c>
      <c r="I141" s="6">
        <v>90.69</v>
      </c>
      <c r="J141" s="6">
        <v>27.69</v>
      </c>
      <c r="K141" s="6">
        <v>34.11</v>
      </c>
      <c r="L141" s="6">
        <v>24.49</v>
      </c>
      <c r="M141" s="6">
        <v>2.5099999999999998</v>
      </c>
      <c r="N141" s="6">
        <v>9.85</v>
      </c>
    </row>
    <row r="142" spans="1:14">
      <c r="A142">
        <v>2011</v>
      </c>
      <c r="B142">
        <v>9</v>
      </c>
      <c r="C142" t="s">
        <v>82</v>
      </c>
      <c r="D142" t="s">
        <v>218</v>
      </c>
      <c r="E142" s="6">
        <v>6.79</v>
      </c>
      <c r="F142" s="6">
        <v>203.6</v>
      </c>
      <c r="G142" s="6">
        <v>100.28</v>
      </c>
      <c r="H142" s="6">
        <v>20.92</v>
      </c>
      <c r="I142" s="6">
        <v>90.12</v>
      </c>
      <c r="J142" s="6">
        <v>27.67</v>
      </c>
      <c r="K142" s="6">
        <v>32.43</v>
      </c>
      <c r="L142" s="6">
        <v>24.16</v>
      </c>
      <c r="M142" s="6">
        <v>2.64</v>
      </c>
      <c r="N142" s="6">
        <v>10.039999999999999</v>
      </c>
    </row>
    <row r="143" spans="1:14">
      <c r="A143">
        <v>2011</v>
      </c>
      <c r="B143">
        <v>10</v>
      </c>
      <c r="C143" t="s">
        <v>84</v>
      </c>
      <c r="D143" t="s">
        <v>219</v>
      </c>
      <c r="E143" s="6">
        <v>1.5</v>
      </c>
      <c r="F143" s="6">
        <v>46.54</v>
      </c>
      <c r="G143" s="6">
        <v>100.83</v>
      </c>
      <c r="H143" s="6">
        <v>17.88</v>
      </c>
      <c r="I143" s="6">
        <v>82.09</v>
      </c>
      <c r="J143" s="6">
        <v>26.75</v>
      </c>
      <c r="K143" s="6">
        <v>32.11</v>
      </c>
      <c r="L143" s="6">
        <v>19.38</v>
      </c>
      <c r="M143" s="6">
        <v>1.45</v>
      </c>
      <c r="N143" s="6">
        <v>8.5399999999999991</v>
      </c>
    </row>
    <row r="144" spans="1:14">
      <c r="A144">
        <v>2011</v>
      </c>
      <c r="B144">
        <v>11</v>
      </c>
      <c r="C144" t="s">
        <v>86</v>
      </c>
      <c r="D144" t="s">
        <v>220</v>
      </c>
      <c r="E144" s="6">
        <v>0.01</v>
      </c>
      <c r="F144" s="6">
        <v>0.16</v>
      </c>
      <c r="G144" s="6">
        <v>101.19</v>
      </c>
      <c r="H144" s="6">
        <v>12.27</v>
      </c>
      <c r="I144" s="6">
        <v>71.61</v>
      </c>
      <c r="J144" s="6">
        <v>23.15</v>
      </c>
      <c r="K144" s="6">
        <v>30.24</v>
      </c>
      <c r="L144" s="6">
        <v>15.46</v>
      </c>
      <c r="M144" s="6">
        <v>1.23</v>
      </c>
      <c r="N144" s="6">
        <v>6.81</v>
      </c>
    </row>
    <row r="145" spans="1:14">
      <c r="A145">
        <v>2011</v>
      </c>
      <c r="B145">
        <v>12</v>
      </c>
      <c r="C145" t="s">
        <v>88</v>
      </c>
      <c r="D145" t="s">
        <v>221</v>
      </c>
      <c r="E145" s="6">
        <v>0.02</v>
      </c>
      <c r="F145" s="6">
        <v>0.56000000000000005</v>
      </c>
      <c r="G145" s="6">
        <v>101.33</v>
      </c>
      <c r="H145" s="6">
        <v>9.43</v>
      </c>
      <c r="I145" s="6">
        <v>68.209999999999994</v>
      </c>
      <c r="J145" s="6">
        <v>19.77</v>
      </c>
      <c r="K145" s="6">
        <v>29.19</v>
      </c>
      <c r="L145" s="6">
        <v>9.41</v>
      </c>
      <c r="M145" s="6">
        <v>1.49</v>
      </c>
      <c r="N145" s="6">
        <v>8.08</v>
      </c>
    </row>
    <row r="146" spans="1:14">
      <c r="A146">
        <v>2012</v>
      </c>
      <c r="B146">
        <v>1</v>
      </c>
      <c r="C146" t="s">
        <v>62</v>
      </c>
      <c r="D146" t="s">
        <v>222</v>
      </c>
      <c r="E146" s="6">
        <v>0.44</v>
      </c>
      <c r="F146" s="6">
        <v>13.54</v>
      </c>
      <c r="G146" s="6">
        <v>101.36</v>
      </c>
      <c r="H146" s="6">
        <v>7.76</v>
      </c>
      <c r="I146" s="6">
        <v>60.37</v>
      </c>
      <c r="J146" s="6">
        <v>18.55</v>
      </c>
      <c r="K146" s="6">
        <v>28.42</v>
      </c>
      <c r="L146" s="6">
        <v>8.5500000000000007</v>
      </c>
      <c r="M146" s="6">
        <v>1.78</v>
      </c>
      <c r="N146" s="6">
        <v>9.01</v>
      </c>
    </row>
    <row r="147" spans="1:14">
      <c r="A147">
        <v>2012</v>
      </c>
      <c r="B147">
        <v>2</v>
      </c>
      <c r="C147" t="s">
        <v>68</v>
      </c>
      <c r="D147" t="s">
        <v>223</v>
      </c>
      <c r="E147" s="6">
        <v>0.39</v>
      </c>
      <c r="F147" s="6">
        <v>11.24</v>
      </c>
      <c r="G147" s="6">
        <v>101.07</v>
      </c>
      <c r="H147" s="6">
        <v>7.06</v>
      </c>
      <c r="I147" s="6">
        <v>45.94</v>
      </c>
      <c r="J147" s="6">
        <v>21.8</v>
      </c>
      <c r="K147" s="6">
        <v>34.35</v>
      </c>
      <c r="L147" s="6">
        <v>10.210000000000001</v>
      </c>
      <c r="M147" s="6">
        <v>1.76</v>
      </c>
      <c r="N147" s="6">
        <v>8.9600000000000009</v>
      </c>
    </row>
    <row r="148" spans="1:14">
      <c r="A148">
        <v>2012</v>
      </c>
      <c r="B148">
        <v>3</v>
      </c>
      <c r="C148" t="s">
        <v>70</v>
      </c>
      <c r="D148" t="s">
        <v>224</v>
      </c>
      <c r="E148" s="6">
        <v>0.41</v>
      </c>
      <c r="F148" s="6">
        <v>12.67</v>
      </c>
      <c r="G148" s="6">
        <v>100.83</v>
      </c>
      <c r="H148" s="6">
        <v>10.18</v>
      </c>
      <c r="I148" s="6">
        <v>48.81</v>
      </c>
      <c r="J148" s="6">
        <v>27.31</v>
      </c>
      <c r="K148" s="6">
        <v>39.1</v>
      </c>
      <c r="L148" s="6">
        <v>16.39</v>
      </c>
      <c r="M148" s="6">
        <v>1.89</v>
      </c>
      <c r="N148" s="6">
        <v>9.06</v>
      </c>
    </row>
    <row r="149" spans="1:14">
      <c r="A149">
        <v>2012</v>
      </c>
      <c r="B149">
        <v>4</v>
      </c>
      <c r="C149" t="s">
        <v>72</v>
      </c>
      <c r="D149" t="s">
        <v>225</v>
      </c>
      <c r="E149" s="6">
        <v>7.13</v>
      </c>
      <c r="F149" s="6">
        <v>213.97</v>
      </c>
      <c r="G149" s="6">
        <v>100.6</v>
      </c>
      <c r="H149" s="6">
        <v>16.75</v>
      </c>
      <c r="I149" s="6">
        <v>68.88</v>
      </c>
      <c r="J149" s="6">
        <v>29.33</v>
      </c>
      <c r="K149" s="6">
        <v>38.28</v>
      </c>
      <c r="L149" s="6">
        <v>21.54</v>
      </c>
      <c r="M149" s="6">
        <v>2.95</v>
      </c>
      <c r="N149" s="6">
        <v>11.72</v>
      </c>
    </row>
    <row r="150" spans="1:14">
      <c r="A150">
        <v>2012</v>
      </c>
      <c r="B150">
        <v>5</v>
      </c>
      <c r="C150" t="s">
        <v>74</v>
      </c>
      <c r="D150" t="s">
        <v>226</v>
      </c>
      <c r="E150" s="6">
        <v>4.22</v>
      </c>
      <c r="F150" s="6">
        <v>130.94</v>
      </c>
      <c r="G150" s="6">
        <v>100.26</v>
      </c>
      <c r="H150" s="6">
        <v>19.25</v>
      </c>
      <c r="I150" s="6">
        <v>73.48</v>
      </c>
      <c r="J150" s="6">
        <v>30.13</v>
      </c>
      <c r="K150" s="6">
        <v>37.39</v>
      </c>
      <c r="L150" s="6">
        <v>23.98</v>
      </c>
      <c r="M150" s="6">
        <v>2.4</v>
      </c>
      <c r="N150" s="6">
        <v>9.1999999999999993</v>
      </c>
    </row>
    <row r="151" spans="1:14">
      <c r="A151">
        <v>2012</v>
      </c>
      <c r="B151">
        <v>6</v>
      </c>
      <c r="C151" t="s">
        <v>76</v>
      </c>
      <c r="D151" t="s">
        <v>227</v>
      </c>
      <c r="E151" s="6">
        <v>7.51</v>
      </c>
      <c r="F151" s="6">
        <v>225.36</v>
      </c>
      <c r="G151" s="6">
        <v>99.81</v>
      </c>
      <c r="H151" s="6">
        <v>21.48</v>
      </c>
      <c r="I151" s="6">
        <v>83.24</v>
      </c>
      <c r="J151" s="6">
        <v>29.55</v>
      </c>
      <c r="K151" s="6">
        <v>35.42</v>
      </c>
      <c r="L151" s="6">
        <v>25.97</v>
      </c>
      <c r="M151" s="6">
        <v>3.66</v>
      </c>
      <c r="N151" s="6">
        <v>11.76</v>
      </c>
    </row>
    <row r="152" spans="1:14">
      <c r="A152">
        <v>2012</v>
      </c>
      <c r="B152">
        <v>7</v>
      </c>
      <c r="C152" t="s">
        <v>78</v>
      </c>
      <c r="D152" t="s">
        <v>228</v>
      </c>
      <c r="E152" s="6">
        <v>9.56</v>
      </c>
      <c r="F152" s="6">
        <v>296.29000000000002</v>
      </c>
      <c r="G152" s="6">
        <v>99.9</v>
      </c>
      <c r="H152" s="6">
        <v>21.38</v>
      </c>
      <c r="I152" s="6">
        <v>87.23</v>
      </c>
      <c r="J152" s="6">
        <v>28.59</v>
      </c>
      <c r="K152" s="6">
        <v>33.270000000000003</v>
      </c>
      <c r="L152" s="6">
        <v>25.79</v>
      </c>
      <c r="M152" s="6">
        <v>3.67</v>
      </c>
      <c r="N152" s="6">
        <v>12.45</v>
      </c>
    </row>
    <row r="153" spans="1:14">
      <c r="A153">
        <v>2012</v>
      </c>
      <c r="B153">
        <v>8</v>
      </c>
      <c r="C153" t="s">
        <v>80</v>
      </c>
      <c r="D153" t="s">
        <v>229</v>
      </c>
      <c r="E153" s="6">
        <v>9.73</v>
      </c>
      <c r="F153" s="6">
        <v>301.7</v>
      </c>
      <c r="G153" s="6">
        <v>100.1</v>
      </c>
      <c r="H153" s="6">
        <v>21.31</v>
      </c>
      <c r="I153" s="6">
        <v>89.32</v>
      </c>
      <c r="J153" s="6">
        <v>28.11</v>
      </c>
      <c r="K153" s="6">
        <v>32.31</v>
      </c>
      <c r="L153" s="6">
        <v>25.67</v>
      </c>
      <c r="M153" s="6">
        <v>2.77</v>
      </c>
      <c r="N153" s="6">
        <v>9.3800000000000008</v>
      </c>
    </row>
    <row r="154" spans="1:14">
      <c r="A154">
        <v>2012</v>
      </c>
      <c r="B154">
        <v>9</v>
      </c>
      <c r="C154" t="s">
        <v>82</v>
      </c>
      <c r="D154" t="s">
        <v>230</v>
      </c>
      <c r="E154" s="6">
        <v>5.65</v>
      </c>
      <c r="F154" s="6">
        <v>169.58</v>
      </c>
      <c r="G154" s="6">
        <v>100.45</v>
      </c>
      <c r="H154" s="6">
        <v>20.84</v>
      </c>
      <c r="I154" s="6">
        <v>89.7</v>
      </c>
      <c r="J154" s="6">
        <v>27.72</v>
      </c>
      <c r="K154" s="6">
        <v>34.06</v>
      </c>
      <c r="L154" s="6">
        <v>24.56</v>
      </c>
      <c r="M154" s="6">
        <v>2.35</v>
      </c>
      <c r="N154" s="6">
        <v>13.27</v>
      </c>
    </row>
    <row r="155" spans="1:14">
      <c r="A155">
        <v>2012</v>
      </c>
      <c r="B155">
        <v>10</v>
      </c>
      <c r="C155" t="s">
        <v>84</v>
      </c>
      <c r="D155" t="s">
        <v>231</v>
      </c>
      <c r="E155" s="6">
        <v>2.0499999999999998</v>
      </c>
      <c r="F155" s="6">
        <v>63.61</v>
      </c>
      <c r="G155" s="6">
        <v>100.91</v>
      </c>
      <c r="H155" s="6">
        <v>16.98</v>
      </c>
      <c r="I155" s="6">
        <v>84.18</v>
      </c>
      <c r="J155" s="6">
        <v>25.4</v>
      </c>
      <c r="K155" s="6">
        <v>31.4</v>
      </c>
      <c r="L155" s="6">
        <v>15.33</v>
      </c>
      <c r="M155" s="6">
        <v>1.8</v>
      </c>
      <c r="N155" s="6">
        <v>9.85</v>
      </c>
    </row>
    <row r="156" spans="1:14">
      <c r="A156">
        <v>2012</v>
      </c>
      <c r="B156">
        <v>11</v>
      </c>
      <c r="C156" t="s">
        <v>86</v>
      </c>
      <c r="D156" t="s">
        <v>232</v>
      </c>
      <c r="E156" s="6">
        <v>2.2200000000000002</v>
      </c>
      <c r="F156" s="6">
        <v>66.739999999999995</v>
      </c>
      <c r="G156" s="6">
        <v>101.1</v>
      </c>
      <c r="H156" s="6">
        <v>12.08</v>
      </c>
      <c r="I156" s="6">
        <v>76.27</v>
      </c>
      <c r="J156" s="6">
        <v>21.55</v>
      </c>
      <c r="K156" s="6">
        <v>30.75</v>
      </c>
      <c r="L156" s="6">
        <v>11.8</v>
      </c>
      <c r="M156" s="6">
        <v>1.63</v>
      </c>
      <c r="N156" s="6">
        <v>7.7</v>
      </c>
    </row>
    <row r="157" spans="1:14">
      <c r="A157">
        <v>2012</v>
      </c>
      <c r="B157">
        <v>12</v>
      </c>
      <c r="C157" t="s">
        <v>88</v>
      </c>
      <c r="D157" t="s">
        <v>233</v>
      </c>
      <c r="E157" s="6">
        <v>0.08</v>
      </c>
      <c r="F157" s="6">
        <v>2.33</v>
      </c>
      <c r="G157" s="6">
        <v>101.27</v>
      </c>
      <c r="H157" s="6">
        <v>8.2100000000000009</v>
      </c>
      <c r="I157" s="6">
        <v>69.400000000000006</v>
      </c>
      <c r="J157" s="6">
        <v>17.2</v>
      </c>
      <c r="K157" s="6">
        <v>27.03</v>
      </c>
      <c r="L157" s="6">
        <v>6.55</v>
      </c>
      <c r="M157" s="6">
        <v>1.59</v>
      </c>
      <c r="N157" s="6">
        <v>8.73</v>
      </c>
    </row>
    <row r="158" spans="1:14">
      <c r="A158">
        <v>2013</v>
      </c>
      <c r="B158">
        <v>1</v>
      </c>
      <c r="C158" t="s">
        <v>62</v>
      </c>
      <c r="D158" t="s">
        <v>234</v>
      </c>
      <c r="E158" s="6">
        <v>0.01</v>
      </c>
      <c r="F158" s="6">
        <v>0.25</v>
      </c>
      <c r="G158" s="6">
        <v>101.44</v>
      </c>
      <c r="H158" s="6">
        <v>6.6</v>
      </c>
      <c r="I158" s="6">
        <v>58.37</v>
      </c>
      <c r="J158" s="6">
        <v>16.59</v>
      </c>
      <c r="K158" s="6">
        <v>28.01</v>
      </c>
      <c r="L158" s="6">
        <v>4.37</v>
      </c>
      <c r="M158" s="6">
        <v>1.87</v>
      </c>
      <c r="N158" s="6">
        <v>8.7200000000000006</v>
      </c>
    </row>
    <row r="159" spans="1:14">
      <c r="A159">
        <v>2013</v>
      </c>
      <c r="B159">
        <v>2</v>
      </c>
      <c r="C159" t="s">
        <v>68</v>
      </c>
      <c r="D159" t="s">
        <v>235</v>
      </c>
      <c r="E159" s="6">
        <v>0.23</v>
      </c>
      <c r="F159" s="6">
        <v>6.44</v>
      </c>
      <c r="G159" s="6">
        <v>101.21</v>
      </c>
      <c r="H159" s="6">
        <v>7.3</v>
      </c>
      <c r="I159" s="6">
        <v>48.73</v>
      </c>
      <c r="J159" s="6">
        <v>21.59</v>
      </c>
      <c r="K159" s="6">
        <v>33.71</v>
      </c>
      <c r="L159" s="6">
        <v>10.89</v>
      </c>
      <c r="M159" s="6">
        <v>2.25</v>
      </c>
      <c r="N159" s="6">
        <v>10.78</v>
      </c>
    </row>
    <row r="160" spans="1:14">
      <c r="A160">
        <v>2013</v>
      </c>
      <c r="B160">
        <v>3</v>
      </c>
      <c r="C160" t="s">
        <v>70</v>
      </c>
      <c r="D160" t="s">
        <v>236</v>
      </c>
      <c r="E160" s="6">
        <v>0.67</v>
      </c>
      <c r="F160" s="6">
        <v>20.82</v>
      </c>
      <c r="G160" s="6">
        <v>100.9</v>
      </c>
      <c r="H160" s="6">
        <v>10.57</v>
      </c>
      <c r="I160" s="6">
        <v>49.31</v>
      </c>
      <c r="J160" s="6">
        <v>27.54</v>
      </c>
      <c r="K160" s="6">
        <v>38.15</v>
      </c>
      <c r="L160" s="6">
        <v>13.93</v>
      </c>
      <c r="M160" s="6">
        <v>1.93</v>
      </c>
      <c r="N160" s="6">
        <v>8.73</v>
      </c>
    </row>
    <row r="161" spans="1:14">
      <c r="A161">
        <v>2013</v>
      </c>
      <c r="B161">
        <v>4</v>
      </c>
      <c r="C161" t="s">
        <v>72</v>
      </c>
      <c r="D161" t="s">
        <v>237</v>
      </c>
      <c r="E161" s="6">
        <v>2.27</v>
      </c>
      <c r="F161" s="6">
        <v>68.239999999999995</v>
      </c>
      <c r="G161" s="6">
        <v>100.56</v>
      </c>
      <c r="H161" s="6">
        <v>14.72</v>
      </c>
      <c r="I161" s="6">
        <v>57.94</v>
      </c>
      <c r="J161" s="6">
        <v>30.4</v>
      </c>
      <c r="K161" s="6">
        <v>39.89</v>
      </c>
      <c r="L161" s="6">
        <v>21.81</v>
      </c>
      <c r="M161" s="6">
        <v>2.78</v>
      </c>
      <c r="N161" s="6">
        <v>10.25</v>
      </c>
    </row>
    <row r="162" spans="1:14">
      <c r="A162">
        <v>2013</v>
      </c>
      <c r="B162">
        <v>5</v>
      </c>
      <c r="C162" t="s">
        <v>74</v>
      </c>
      <c r="D162" t="s">
        <v>238</v>
      </c>
      <c r="E162" s="6">
        <v>15.9</v>
      </c>
      <c r="F162" s="6">
        <v>493.01</v>
      </c>
      <c r="G162" s="6">
        <v>100.22</v>
      </c>
      <c r="H162" s="6">
        <v>20.28</v>
      </c>
      <c r="I162" s="6">
        <v>83.41</v>
      </c>
      <c r="J162" s="6">
        <v>28.69</v>
      </c>
      <c r="K162" s="6">
        <v>40.35</v>
      </c>
      <c r="L162" s="6">
        <v>24.11</v>
      </c>
      <c r="M162" s="6">
        <v>3.93</v>
      </c>
      <c r="N162" s="6">
        <v>14.05</v>
      </c>
    </row>
    <row r="163" spans="1:14">
      <c r="A163">
        <v>2013</v>
      </c>
      <c r="B163">
        <v>6</v>
      </c>
      <c r="C163" t="s">
        <v>76</v>
      </c>
      <c r="D163" t="s">
        <v>239</v>
      </c>
      <c r="E163" s="6">
        <v>10.91</v>
      </c>
      <c r="F163" s="6">
        <v>327.36</v>
      </c>
      <c r="G163" s="6">
        <v>99.97</v>
      </c>
      <c r="H163" s="6">
        <v>21.86</v>
      </c>
      <c r="I163" s="6">
        <v>88.8</v>
      </c>
      <c r="J163" s="6">
        <v>28.63</v>
      </c>
      <c r="K163" s="6">
        <v>33.39</v>
      </c>
      <c r="L163" s="6">
        <v>25.71</v>
      </c>
      <c r="M163" s="6">
        <v>2.94</v>
      </c>
      <c r="N163" s="6">
        <v>10.81</v>
      </c>
    </row>
    <row r="164" spans="1:14">
      <c r="A164">
        <v>2013</v>
      </c>
      <c r="B164">
        <v>7</v>
      </c>
      <c r="C164" t="s">
        <v>78</v>
      </c>
      <c r="D164" t="s">
        <v>240</v>
      </c>
      <c r="E164" s="6">
        <v>7.75</v>
      </c>
      <c r="F164" s="6">
        <v>240.33</v>
      </c>
      <c r="G164" s="6">
        <v>99.89</v>
      </c>
      <c r="H164" s="6">
        <v>21.59</v>
      </c>
      <c r="I164" s="6">
        <v>89.31</v>
      </c>
      <c r="J164" s="6">
        <v>28.3</v>
      </c>
      <c r="K164" s="6">
        <v>32.49</v>
      </c>
      <c r="L164" s="6">
        <v>25.4</v>
      </c>
      <c r="M164" s="6">
        <v>3.51</v>
      </c>
      <c r="N164" s="6">
        <v>15.28</v>
      </c>
    </row>
    <row r="165" spans="1:14">
      <c r="A165">
        <v>2013</v>
      </c>
      <c r="B165">
        <v>8</v>
      </c>
      <c r="C165" t="s">
        <v>80</v>
      </c>
      <c r="D165" t="s">
        <v>241</v>
      </c>
      <c r="E165" s="6">
        <v>8.09</v>
      </c>
      <c r="F165" s="6">
        <v>250.88</v>
      </c>
      <c r="G165" s="6">
        <v>100.14</v>
      </c>
      <c r="H165" s="6">
        <v>21.19</v>
      </c>
      <c r="I165" s="6">
        <v>90.05</v>
      </c>
      <c r="J165" s="6">
        <v>27.87</v>
      </c>
      <c r="K165" s="6">
        <v>32.380000000000003</v>
      </c>
      <c r="L165" s="6">
        <v>24.74</v>
      </c>
      <c r="M165" s="6">
        <v>2.92</v>
      </c>
      <c r="N165" s="6">
        <v>11.3</v>
      </c>
    </row>
    <row r="166" spans="1:14">
      <c r="A166">
        <v>2013</v>
      </c>
      <c r="B166">
        <v>9</v>
      </c>
      <c r="C166" t="s">
        <v>82</v>
      </c>
      <c r="D166" t="s">
        <v>242</v>
      </c>
      <c r="E166" s="6">
        <v>8.69</v>
      </c>
      <c r="F166" s="6">
        <v>260.73</v>
      </c>
      <c r="G166" s="6">
        <v>100.37</v>
      </c>
      <c r="H166" s="6">
        <v>20.75</v>
      </c>
      <c r="I166" s="6">
        <v>88.42</v>
      </c>
      <c r="J166" s="6">
        <v>27.9</v>
      </c>
      <c r="K166" s="6">
        <v>32.56</v>
      </c>
      <c r="L166" s="6">
        <v>24.79</v>
      </c>
      <c r="M166" s="6">
        <v>2</v>
      </c>
      <c r="N166" s="6">
        <v>10.59</v>
      </c>
    </row>
    <row r="167" spans="1:14">
      <c r="A167">
        <v>2013</v>
      </c>
      <c r="B167">
        <v>10</v>
      </c>
      <c r="C167" t="s">
        <v>84</v>
      </c>
      <c r="D167" t="s">
        <v>243</v>
      </c>
      <c r="E167" s="6">
        <v>5.15</v>
      </c>
      <c r="F167" s="6">
        <v>159.69</v>
      </c>
      <c r="G167" s="6">
        <v>100.88</v>
      </c>
      <c r="H167" s="6">
        <v>18.63</v>
      </c>
      <c r="I167" s="6">
        <v>87.18</v>
      </c>
      <c r="J167" s="6">
        <v>26.37</v>
      </c>
      <c r="K167" s="6">
        <v>31.8</v>
      </c>
      <c r="L167" s="6">
        <v>20.29</v>
      </c>
      <c r="M167" s="6">
        <v>1.6</v>
      </c>
      <c r="N167" s="6">
        <v>8.2100000000000009</v>
      </c>
    </row>
    <row r="168" spans="1:14">
      <c r="A168">
        <v>2013</v>
      </c>
      <c r="B168">
        <v>11</v>
      </c>
      <c r="C168" t="s">
        <v>86</v>
      </c>
      <c r="D168" t="s">
        <v>244</v>
      </c>
      <c r="E168" s="6">
        <v>0</v>
      </c>
      <c r="F168" s="6">
        <v>0</v>
      </c>
      <c r="G168" s="6">
        <v>101.18</v>
      </c>
      <c r="H168" s="6">
        <v>13.37</v>
      </c>
      <c r="I168" s="6">
        <v>80.78</v>
      </c>
      <c r="J168" s="6">
        <v>22.33</v>
      </c>
      <c r="K168" s="6">
        <v>29.15</v>
      </c>
      <c r="L168" s="6">
        <v>14.72</v>
      </c>
      <c r="M168" s="6">
        <v>1.56</v>
      </c>
      <c r="N168" s="6">
        <v>7.87</v>
      </c>
    </row>
    <row r="169" spans="1:14">
      <c r="A169">
        <v>2013</v>
      </c>
      <c r="B169">
        <v>12</v>
      </c>
      <c r="C169" t="s">
        <v>88</v>
      </c>
      <c r="D169" t="s">
        <v>245</v>
      </c>
      <c r="E169" s="6">
        <v>0.05</v>
      </c>
      <c r="F169" s="6">
        <v>1.46</v>
      </c>
      <c r="G169" s="6">
        <v>101.32</v>
      </c>
      <c r="H169" s="6">
        <v>10.27</v>
      </c>
      <c r="I169" s="6">
        <v>74.48</v>
      </c>
      <c r="J169" s="6">
        <v>19.46</v>
      </c>
      <c r="K169" s="6">
        <v>28.45</v>
      </c>
      <c r="L169" s="6">
        <v>10.39</v>
      </c>
      <c r="M169" s="6">
        <v>1.4</v>
      </c>
      <c r="N169" s="6">
        <v>8.23</v>
      </c>
    </row>
    <row r="170" spans="1:14">
      <c r="A170">
        <v>2014</v>
      </c>
      <c r="B170">
        <v>1</v>
      </c>
      <c r="C170" t="s">
        <v>62</v>
      </c>
      <c r="D170" t="s">
        <v>246</v>
      </c>
      <c r="E170" s="6">
        <v>0</v>
      </c>
      <c r="F170" s="6">
        <v>0.02</v>
      </c>
      <c r="G170" s="6">
        <v>101.55</v>
      </c>
      <c r="H170" s="6">
        <v>8.3000000000000007</v>
      </c>
      <c r="I170" s="6">
        <v>68.09</v>
      </c>
      <c r="J170" s="6">
        <v>17.96</v>
      </c>
      <c r="K170" s="6">
        <v>28.41</v>
      </c>
      <c r="L170" s="6">
        <v>8.24</v>
      </c>
      <c r="M170" s="6">
        <v>1.78</v>
      </c>
      <c r="N170" s="6">
        <v>7.87</v>
      </c>
    </row>
    <row r="171" spans="1:14">
      <c r="A171">
        <v>2014</v>
      </c>
      <c r="B171">
        <v>2</v>
      </c>
      <c r="C171" t="s">
        <v>68</v>
      </c>
      <c r="D171" t="s">
        <v>247</v>
      </c>
      <c r="E171" s="6">
        <v>0.41</v>
      </c>
      <c r="F171" s="6">
        <v>11.45</v>
      </c>
      <c r="G171" s="6">
        <v>101.18</v>
      </c>
      <c r="H171" s="6">
        <v>8.1199999999999992</v>
      </c>
      <c r="I171" s="6">
        <v>54.42</v>
      </c>
      <c r="J171" s="6">
        <v>21.31</v>
      </c>
      <c r="K171" s="6">
        <v>31.73</v>
      </c>
      <c r="L171" s="6">
        <v>10.54</v>
      </c>
      <c r="M171" s="6">
        <v>1.62</v>
      </c>
      <c r="N171" s="6">
        <v>8.14</v>
      </c>
    </row>
    <row r="172" spans="1:14">
      <c r="A172">
        <v>2014</v>
      </c>
      <c r="B172">
        <v>3</v>
      </c>
      <c r="C172" t="s">
        <v>70</v>
      </c>
      <c r="D172" t="s">
        <v>248</v>
      </c>
      <c r="E172" s="6">
        <v>0.53</v>
      </c>
      <c r="F172" s="6">
        <v>16.34</v>
      </c>
      <c r="G172" s="6">
        <v>101.04</v>
      </c>
      <c r="H172" s="6">
        <v>10.15</v>
      </c>
      <c r="I172" s="6">
        <v>49.33</v>
      </c>
      <c r="J172" s="6">
        <v>26.79</v>
      </c>
      <c r="K172" s="6">
        <v>40.53</v>
      </c>
      <c r="L172" s="6">
        <v>16.329999999999998</v>
      </c>
      <c r="M172" s="6">
        <v>1.93</v>
      </c>
      <c r="N172" s="6">
        <v>9.58</v>
      </c>
    </row>
    <row r="173" spans="1:14">
      <c r="A173">
        <v>2014</v>
      </c>
      <c r="B173">
        <v>4</v>
      </c>
      <c r="C173" t="s">
        <v>72</v>
      </c>
      <c r="D173" t="s">
        <v>249</v>
      </c>
      <c r="E173" s="6">
        <v>1.64</v>
      </c>
      <c r="F173" s="6">
        <v>49.08</v>
      </c>
      <c r="G173" s="6">
        <v>100.66</v>
      </c>
      <c r="H173" s="6">
        <v>13.88</v>
      </c>
      <c r="I173" s="6">
        <v>51.22</v>
      </c>
      <c r="J173" s="6">
        <v>31.9</v>
      </c>
      <c r="K173" s="6">
        <v>41.97</v>
      </c>
      <c r="L173" s="6">
        <v>22.87</v>
      </c>
      <c r="M173" s="6">
        <v>2.31</v>
      </c>
      <c r="N173" s="6">
        <v>11.06</v>
      </c>
    </row>
    <row r="174" spans="1:14">
      <c r="A174">
        <v>2014</v>
      </c>
      <c r="B174">
        <v>5</v>
      </c>
      <c r="C174" t="s">
        <v>74</v>
      </c>
      <c r="D174" t="s">
        <v>250</v>
      </c>
      <c r="E174" s="6">
        <v>7.85</v>
      </c>
      <c r="F174" s="6">
        <v>243.49</v>
      </c>
      <c r="G174" s="6">
        <v>100.42</v>
      </c>
      <c r="H174" s="6">
        <v>18.41</v>
      </c>
      <c r="I174" s="6">
        <v>67.709999999999994</v>
      </c>
      <c r="J174" s="6">
        <v>31.19</v>
      </c>
      <c r="K174" s="6">
        <v>41.25</v>
      </c>
      <c r="L174" s="6">
        <v>25.77</v>
      </c>
      <c r="M174" s="6">
        <v>3.17</v>
      </c>
      <c r="N174" s="6">
        <v>11.3</v>
      </c>
    </row>
    <row r="175" spans="1:14">
      <c r="A175">
        <v>2014</v>
      </c>
      <c r="B175">
        <v>6</v>
      </c>
      <c r="C175" t="s">
        <v>76</v>
      </c>
      <c r="D175" t="s">
        <v>251</v>
      </c>
      <c r="E175" s="6">
        <v>14.63</v>
      </c>
      <c r="F175" s="6">
        <v>438.95</v>
      </c>
      <c r="G175" s="6">
        <v>99.89</v>
      </c>
      <c r="H175" s="6">
        <v>22.2</v>
      </c>
      <c r="I175" s="6">
        <v>86.5</v>
      </c>
      <c r="J175" s="6">
        <v>29.39</v>
      </c>
      <c r="K175" s="6">
        <v>34.67</v>
      </c>
      <c r="L175" s="6">
        <v>26.42</v>
      </c>
      <c r="M175" s="6">
        <v>3.13</v>
      </c>
      <c r="N175" s="6">
        <v>10.17</v>
      </c>
    </row>
    <row r="176" spans="1:14">
      <c r="A176">
        <v>2014</v>
      </c>
      <c r="B176">
        <v>7</v>
      </c>
      <c r="C176" t="s">
        <v>78</v>
      </c>
      <c r="D176" t="s">
        <v>252</v>
      </c>
      <c r="E176" s="6">
        <v>7.81</v>
      </c>
      <c r="F176" s="6">
        <v>242.25</v>
      </c>
      <c r="G176" s="6">
        <v>99.93</v>
      </c>
      <c r="H176" s="6">
        <v>21.98</v>
      </c>
      <c r="I176" s="6">
        <v>89.39</v>
      </c>
      <c r="J176" s="6">
        <v>28.59</v>
      </c>
      <c r="K176" s="6">
        <v>32.69</v>
      </c>
      <c r="L176" s="6">
        <v>25.65</v>
      </c>
      <c r="M176" s="6">
        <v>3.23</v>
      </c>
      <c r="N176" s="6">
        <v>14.54</v>
      </c>
    </row>
    <row r="177" spans="1:14">
      <c r="A177">
        <v>2014</v>
      </c>
      <c r="B177">
        <v>8</v>
      </c>
      <c r="C177" t="s">
        <v>80</v>
      </c>
      <c r="D177" t="s">
        <v>253</v>
      </c>
      <c r="E177" s="6">
        <v>11.51</v>
      </c>
      <c r="F177" s="6">
        <v>356.75</v>
      </c>
      <c r="G177" s="6">
        <v>100.19</v>
      </c>
      <c r="H177" s="6">
        <v>21.4</v>
      </c>
      <c r="I177" s="6">
        <v>89.55</v>
      </c>
      <c r="J177" s="6">
        <v>28.14</v>
      </c>
      <c r="K177" s="6">
        <v>32.56</v>
      </c>
      <c r="L177" s="6">
        <v>25.01</v>
      </c>
      <c r="M177" s="6">
        <v>3.04</v>
      </c>
      <c r="N177" s="6">
        <v>11.88</v>
      </c>
    </row>
    <row r="178" spans="1:14">
      <c r="A178">
        <v>2014</v>
      </c>
      <c r="B178">
        <v>9</v>
      </c>
      <c r="C178" t="s">
        <v>82</v>
      </c>
      <c r="D178" t="s">
        <v>254</v>
      </c>
      <c r="E178" s="6">
        <v>8.5</v>
      </c>
      <c r="F178" s="6">
        <v>254.94</v>
      </c>
      <c r="G178" s="6">
        <v>100.47</v>
      </c>
      <c r="H178" s="6">
        <v>20.62</v>
      </c>
      <c r="I178" s="6">
        <v>88.24</v>
      </c>
      <c r="J178" s="6">
        <v>27.85</v>
      </c>
      <c r="K178" s="6">
        <v>32.54</v>
      </c>
      <c r="L178" s="6">
        <v>23.56</v>
      </c>
      <c r="M178" s="6">
        <v>2.31</v>
      </c>
      <c r="N178" s="6">
        <v>10.57</v>
      </c>
    </row>
    <row r="179" spans="1:14">
      <c r="A179">
        <v>2014</v>
      </c>
      <c r="B179">
        <v>10</v>
      </c>
      <c r="C179" t="s">
        <v>84</v>
      </c>
      <c r="D179" t="s">
        <v>255</v>
      </c>
      <c r="E179" s="6">
        <v>2.2400000000000002</v>
      </c>
      <c r="F179" s="6">
        <v>69.400000000000006</v>
      </c>
      <c r="G179" s="6">
        <v>101.01</v>
      </c>
      <c r="H179" s="6">
        <v>17.18</v>
      </c>
      <c r="I179" s="6">
        <v>79.83</v>
      </c>
      <c r="J179" s="6">
        <v>26.52</v>
      </c>
      <c r="K179" s="6">
        <v>33.01</v>
      </c>
      <c r="L179" s="6">
        <v>19.09</v>
      </c>
      <c r="M179" s="6">
        <v>1.1200000000000001</v>
      </c>
      <c r="N179" s="6">
        <v>5.6</v>
      </c>
    </row>
    <row r="180" spans="1:14">
      <c r="A180">
        <v>2014</v>
      </c>
      <c r="B180">
        <v>11</v>
      </c>
      <c r="C180" t="s">
        <v>86</v>
      </c>
      <c r="D180" t="s">
        <v>256</v>
      </c>
      <c r="E180" s="6">
        <v>0.01</v>
      </c>
      <c r="F180" s="6">
        <v>0.17</v>
      </c>
      <c r="G180" s="6">
        <v>101.13</v>
      </c>
      <c r="H180" s="6">
        <v>12.51</v>
      </c>
      <c r="I180" s="6">
        <v>71.87</v>
      </c>
      <c r="J180" s="6">
        <v>23.08</v>
      </c>
      <c r="K180" s="6">
        <v>31.55</v>
      </c>
      <c r="L180" s="6">
        <v>14.31</v>
      </c>
      <c r="M180" s="6">
        <v>1.1599999999999999</v>
      </c>
      <c r="N180" s="6">
        <v>5.73</v>
      </c>
    </row>
    <row r="181" spans="1:14">
      <c r="A181">
        <v>2014</v>
      </c>
      <c r="B181">
        <v>12</v>
      </c>
      <c r="C181" t="s">
        <v>88</v>
      </c>
      <c r="D181" t="s">
        <v>257</v>
      </c>
      <c r="E181" s="6">
        <v>0.13</v>
      </c>
      <c r="F181" s="6">
        <v>4.03</v>
      </c>
      <c r="G181" s="6">
        <v>101.39</v>
      </c>
      <c r="H181" s="6">
        <v>9.24</v>
      </c>
      <c r="I181" s="6">
        <v>69.42</v>
      </c>
      <c r="J181" s="6">
        <v>19.079999999999998</v>
      </c>
      <c r="K181" s="6">
        <v>28.15</v>
      </c>
      <c r="L181" s="6">
        <v>9.61</v>
      </c>
      <c r="M181" s="6">
        <v>1.3</v>
      </c>
      <c r="N181" s="6">
        <v>8.24</v>
      </c>
    </row>
    <row r="182" spans="1:14">
      <c r="A182">
        <v>2015</v>
      </c>
      <c r="B182">
        <v>1</v>
      </c>
      <c r="C182" t="s">
        <v>62</v>
      </c>
      <c r="D182" t="s">
        <v>258</v>
      </c>
      <c r="E182" s="6">
        <v>0.11</v>
      </c>
      <c r="F182" s="6">
        <v>3.31</v>
      </c>
      <c r="G182" s="6">
        <v>101.48</v>
      </c>
      <c r="H182" s="6">
        <v>8.14</v>
      </c>
      <c r="I182" s="6">
        <v>60.39</v>
      </c>
      <c r="J182" s="6">
        <v>19.3</v>
      </c>
      <c r="K182" s="6">
        <v>29.24</v>
      </c>
      <c r="L182" s="6">
        <v>9.64</v>
      </c>
      <c r="M182" s="6">
        <v>1.42</v>
      </c>
      <c r="N182" s="6">
        <v>8.1</v>
      </c>
    </row>
    <row r="183" spans="1:14">
      <c r="A183">
        <v>2015</v>
      </c>
      <c r="B183">
        <v>2</v>
      </c>
      <c r="C183" t="s">
        <v>68</v>
      </c>
      <c r="D183" t="s">
        <v>259</v>
      </c>
      <c r="E183" s="6">
        <v>0.83</v>
      </c>
      <c r="F183" s="6">
        <v>23.11</v>
      </c>
      <c r="G183" s="6">
        <v>101.31</v>
      </c>
      <c r="H183" s="6">
        <v>9.02</v>
      </c>
      <c r="I183" s="6">
        <v>54.82</v>
      </c>
      <c r="J183" s="6">
        <v>22.56</v>
      </c>
      <c r="K183" s="6">
        <v>33.35</v>
      </c>
      <c r="L183" s="6">
        <v>10.41</v>
      </c>
      <c r="M183" s="6">
        <v>1.5</v>
      </c>
      <c r="N183" s="6">
        <v>9</v>
      </c>
    </row>
    <row r="184" spans="1:14">
      <c r="A184">
        <v>2015</v>
      </c>
      <c r="B184">
        <v>3</v>
      </c>
      <c r="C184" t="s">
        <v>70</v>
      </c>
      <c r="D184" t="s">
        <v>260</v>
      </c>
      <c r="E184" s="6">
        <v>0.73</v>
      </c>
      <c r="F184" s="6">
        <v>22.52</v>
      </c>
      <c r="G184" s="6">
        <v>101.13</v>
      </c>
      <c r="H184" s="6">
        <v>9.75</v>
      </c>
      <c r="I184" s="6">
        <v>46.72</v>
      </c>
      <c r="J184" s="6">
        <v>26.87</v>
      </c>
      <c r="K184" s="6">
        <v>36.97</v>
      </c>
      <c r="L184" s="6">
        <v>14.32</v>
      </c>
      <c r="M184" s="6">
        <v>1.93</v>
      </c>
      <c r="N184" s="6">
        <v>8.6999999999999993</v>
      </c>
    </row>
    <row r="185" spans="1:14">
      <c r="A185">
        <v>2015</v>
      </c>
      <c r="B185">
        <v>4</v>
      </c>
      <c r="C185" t="s">
        <v>72</v>
      </c>
      <c r="D185" t="s">
        <v>261</v>
      </c>
      <c r="E185" s="6">
        <v>7.09</v>
      </c>
      <c r="F185" s="6">
        <v>212.7</v>
      </c>
      <c r="G185" s="6">
        <v>100.81</v>
      </c>
      <c r="H185" s="6">
        <v>16.61</v>
      </c>
      <c r="I185" s="6">
        <v>71.91</v>
      </c>
      <c r="J185" s="6">
        <v>28.21</v>
      </c>
      <c r="K185" s="6">
        <v>36.43</v>
      </c>
      <c r="L185" s="6">
        <v>22.79</v>
      </c>
      <c r="M185" s="6">
        <v>2.44</v>
      </c>
      <c r="N185" s="6">
        <v>10.17</v>
      </c>
    </row>
    <row r="186" spans="1:14">
      <c r="A186">
        <v>2015</v>
      </c>
      <c r="B186">
        <v>5</v>
      </c>
      <c r="C186" t="s">
        <v>74</v>
      </c>
      <c r="D186" t="s">
        <v>262</v>
      </c>
      <c r="E186" s="6">
        <v>5.17</v>
      </c>
      <c r="F186" s="6">
        <v>160.32</v>
      </c>
      <c r="G186" s="6">
        <v>100.44</v>
      </c>
      <c r="H186" s="6">
        <v>19.59</v>
      </c>
      <c r="I186" s="6">
        <v>77.36</v>
      </c>
      <c r="J186" s="6">
        <v>29.53</v>
      </c>
      <c r="K186" s="6">
        <v>37.770000000000003</v>
      </c>
      <c r="L186" s="6">
        <v>24.09</v>
      </c>
      <c r="M186" s="6">
        <v>2.6</v>
      </c>
      <c r="N186" s="6">
        <v>9.7200000000000006</v>
      </c>
    </row>
    <row r="187" spans="1:14">
      <c r="A187">
        <v>2015</v>
      </c>
      <c r="B187">
        <v>6</v>
      </c>
      <c r="C187" t="s">
        <v>76</v>
      </c>
      <c r="D187" t="s">
        <v>263</v>
      </c>
      <c r="E187" s="6">
        <v>14.65</v>
      </c>
      <c r="F187" s="6">
        <v>439.61</v>
      </c>
      <c r="G187" s="6">
        <v>100.13</v>
      </c>
      <c r="H187" s="6">
        <v>21.18</v>
      </c>
      <c r="I187" s="6">
        <v>85.06</v>
      </c>
      <c r="J187" s="6">
        <v>28.96</v>
      </c>
      <c r="K187" s="6">
        <v>35.5</v>
      </c>
      <c r="L187" s="6">
        <v>24.82</v>
      </c>
      <c r="M187" s="6">
        <v>3.15</v>
      </c>
      <c r="N187" s="6">
        <v>10.26</v>
      </c>
    </row>
    <row r="188" spans="1:14">
      <c r="A188">
        <v>2015</v>
      </c>
      <c r="B188">
        <v>7</v>
      </c>
      <c r="C188" t="s">
        <v>78</v>
      </c>
      <c r="D188" t="s">
        <v>264</v>
      </c>
      <c r="E188" s="6">
        <v>23.14</v>
      </c>
      <c r="F188" s="6">
        <v>717.49</v>
      </c>
      <c r="G188" s="6">
        <v>99.91</v>
      </c>
      <c r="H188" s="6">
        <v>21.72</v>
      </c>
      <c r="I188" s="6">
        <v>91.06</v>
      </c>
      <c r="J188" s="6">
        <v>28.04</v>
      </c>
      <c r="K188" s="6">
        <v>32.700000000000003</v>
      </c>
      <c r="L188" s="6">
        <v>24.95</v>
      </c>
      <c r="M188" s="6">
        <v>3.11</v>
      </c>
      <c r="N188" s="6">
        <v>15.68</v>
      </c>
    </row>
    <row r="189" spans="1:14">
      <c r="A189">
        <v>2015</v>
      </c>
      <c r="B189">
        <v>8</v>
      </c>
      <c r="C189" t="s">
        <v>80</v>
      </c>
      <c r="D189" t="s">
        <v>265</v>
      </c>
      <c r="E189" s="6">
        <v>10.53</v>
      </c>
      <c r="F189" s="6">
        <v>326.54000000000002</v>
      </c>
      <c r="G189" s="6">
        <v>100.26</v>
      </c>
      <c r="H189" s="6">
        <v>21.57</v>
      </c>
      <c r="I189" s="6">
        <v>90.5</v>
      </c>
      <c r="J189" s="6">
        <v>28.09</v>
      </c>
      <c r="K189" s="6">
        <v>31.65</v>
      </c>
      <c r="L189" s="6">
        <v>24.99</v>
      </c>
      <c r="M189" s="6">
        <v>2.74</v>
      </c>
      <c r="N189" s="6">
        <v>12.17</v>
      </c>
    </row>
    <row r="190" spans="1:14">
      <c r="A190">
        <v>2015</v>
      </c>
      <c r="B190">
        <v>9</v>
      </c>
      <c r="C190" t="s">
        <v>82</v>
      </c>
      <c r="D190" t="s">
        <v>266</v>
      </c>
      <c r="E190" s="6">
        <v>8.2200000000000006</v>
      </c>
      <c r="F190" s="6">
        <v>246.46</v>
      </c>
      <c r="G190" s="6">
        <v>100.5</v>
      </c>
      <c r="H190" s="6">
        <v>20.69</v>
      </c>
      <c r="I190" s="6">
        <v>86.62</v>
      </c>
      <c r="J190" s="6">
        <v>28.23</v>
      </c>
      <c r="K190" s="6">
        <v>33.54</v>
      </c>
      <c r="L190" s="6">
        <v>24.38</v>
      </c>
      <c r="M190" s="6">
        <v>1.76</v>
      </c>
      <c r="N190" s="6">
        <v>10.83</v>
      </c>
    </row>
    <row r="191" spans="1:14">
      <c r="A191">
        <v>2015</v>
      </c>
      <c r="B191">
        <v>10</v>
      </c>
      <c r="C191" t="s">
        <v>84</v>
      </c>
      <c r="D191" t="s">
        <v>267</v>
      </c>
      <c r="E191" s="6">
        <v>3.08</v>
      </c>
      <c r="F191" s="6">
        <v>95.52</v>
      </c>
      <c r="G191" s="6">
        <v>101.01</v>
      </c>
      <c r="H191" s="6">
        <v>17.78</v>
      </c>
      <c r="I191" s="6">
        <v>81.45</v>
      </c>
      <c r="J191" s="6">
        <v>26.76</v>
      </c>
      <c r="K191" s="6">
        <v>32.119999999999997</v>
      </c>
      <c r="L191" s="6">
        <v>20.18</v>
      </c>
      <c r="M191" s="6">
        <v>1.21</v>
      </c>
      <c r="N191" s="6">
        <v>9.0399999999999991</v>
      </c>
    </row>
    <row r="192" spans="1:14">
      <c r="A192">
        <v>2015</v>
      </c>
      <c r="B192">
        <v>11</v>
      </c>
      <c r="C192" t="s">
        <v>86</v>
      </c>
      <c r="D192" t="s">
        <v>268</v>
      </c>
      <c r="E192" s="6">
        <v>0.05</v>
      </c>
      <c r="F192" s="6">
        <v>1.64</v>
      </c>
      <c r="G192" s="6">
        <v>101.25</v>
      </c>
      <c r="H192" s="6">
        <v>13.33</v>
      </c>
      <c r="I192" s="6">
        <v>73.89</v>
      </c>
      <c r="J192" s="6">
        <v>23.8</v>
      </c>
      <c r="K192" s="6">
        <v>29.94</v>
      </c>
      <c r="L192" s="6">
        <v>17.13</v>
      </c>
      <c r="M192" s="6">
        <v>1.01</v>
      </c>
      <c r="N192" s="6">
        <v>5.0199999999999996</v>
      </c>
    </row>
    <row r="193" spans="1:14">
      <c r="A193">
        <v>2015</v>
      </c>
      <c r="B193">
        <v>12</v>
      </c>
      <c r="C193" t="s">
        <v>88</v>
      </c>
      <c r="D193" t="s">
        <v>269</v>
      </c>
      <c r="E193" s="6">
        <v>0.04</v>
      </c>
      <c r="F193" s="6">
        <v>1.19</v>
      </c>
      <c r="G193" s="6">
        <v>101.5</v>
      </c>
      <c r="H193" s="6">
        <v>9.51</v>
      </c>
      <c r="I193" s="6">
        <v>66.319999999999993</v>
      </c>
      <c r="J193" s="6">
        <v>19.899999999999999</v>
      </c>
      <c r="K193" s="6">
        <v>28.21</v>
      </c>
      <c r="L193" s="6">
        <v>9.35</v>
      </c>
      <c r="M193" s="6">
        <v>1.2</v>
      </c>
      <c r="N193" s="6">
        <v>7.29</v>
      </c>
    </row>
    <row r="194" spans="1:14">
      <c r="A194">
        <v>2016</v>
      </c>
      <c r="B194">
        <v>1</v>
      </c>
      <c r="C194" t="s">
        <v>62</v>
      </c>
      <c r="D194" t="s">
        <v>270</v>
      </c>
      <c r="E194" s="6">
        <v>0.24</v>
      </c>
      <c r="F194" s="6">
        <v>7.35</v>
      </c>
      <c r="G194" s="6">
        <v>101.49</v>
      </c>
      <c r="H194" s="6">
        <v>7.72</v>
      </c>
      <c r="I194" s="6">
        <v>58.27</v>
      </c>
      <c r="J194" s="6">
        <v>19.100000000000001</v>
      </c>
      <c r="K194" s="6">
        <v>27.91</v>
      </c>
      <c r="L194" s="6">
        <v>9.65</v>
      </c>
      <c r="M194" s="6">
        <v>1.29</v>
      </c>
      <c r="N194" s="6">
        <v>6.67</v>
      </c>
    </row>
    <row r="195" spans="1:14">
      <c r="A195">
        <v>2016</v>
      </c>
      <c r="B195">
        <v>2</v>
      </c>
      <c r="C195" t="s">
        <v>68</v>
      </c>
      <c r="D195" t="s">
        <v>271</v>
      </c>
      <c r="E195" s="6">
        <v>1.54</v>
      </c>
      <c r="F195" s="6">
        <v>44.64</v>
      </c>
      <c r="G195" s="6">
        <v>101.33</v>
      </c>
      <c r="H195" s="6">
        <v>10.32</v>
      </c>
      <c r="I195" s="6">
        <v>57.12</v>
      </c>
      <c r="J195" s="6">
        <v>24.38</v>
      </c>
      <c r="K195" s="6">
        <v>35.44</v>
      </c>
      <c r="L195" s="6">
        <v>12.73</v>
      </c>
      <c r="M195" s="6">
        <v>1.5</v>
      </c>
      <c r="N195" s="6">
        <v>8.6300000000000008</v>
      </c>
    </row>
    <row r="196" spans="1:14">
      <c r="A196">
        <v>2016</v>
      </c>
      <c r="B196">
        <v>3</v>
      </c>
      <c r="C196" t="s">
        <v>70</v>
      </c>
      <c r="D196" t="s">
        <v>272</v>
      </c>
      <c r="E196" s="6">
        <v>2.2599999999999998</v>
      </c>
      <c r="F196" s="6">
        <v>70.13</v>
      </c>
      <c r="G196" s="6">
        <v>101</v>
      </c>
      <c r="H196" s="6">
        <v>12.37</v>
      </c>
      <c r="I196" s="6">
        <v>55.81</v>
      </c>
      <c r="J196" s="6">
        <v>28.1</v>
      </c>
      <c r="K196" s="6">
        <v>37.06</v>
      </c>
      <c r="L196" s="6">
        <v>18.670000000000002</v>
      </c>
      <c r="M196" s="6">
        <v>1.91</v>
      </c>
      <c r="N196" s="6">
        <v>9.42</v>
      </c>
    </row>
    <row r="197" spans="1:14">
      <c r="A197">
        <v>2016</v>
      </c>
      <c r="B197">
        <v>4</v>
      </c>
      <c r="C197" t="s">
        <v>72</v>
      </c>
      <c r="D197" t="s">
        <v>273</v>
      </c>
      <c r="E197" s="6">
        <v>2.4700000000000002</v>
      </c>
      <c r="F197" s="6">
        <v>74.16</v>
      </c>
      <c r="G197" s="6">
        <v>100.48</v>
      </c>
      <c r="H197" s="6">
        <v>17.88</v>
      </c>
      <c r="I197" s="6">
        <v>69.19</v>
      </c>
      <c r="J197" s="6">
        <v>30.48</v>
      </c>
      <c r="K197" s="6">
        <v>40.07</v>
      </c>
      <c r="L197" s="6">
        <v>21.25</v>
      </c>
      <c r="M197" s="6">
        <v>3.73</v>
      </c>
      <c r="N197" s="6">
        <v>12.96</v>
      </c>
    </row>
    <row r="198" spans="1:14">
      <c r="A198">
        <v>2016</v>
      </c>
      <c r="B198">
        <v>5</v>
      </c>
      <c r="C198" t="s">
        <v>74</v>
      </c>
      <c r="D198" t="s">
        <v>274</v>
      </c>
      <c r="E198" s="6">
        <v>17.489999999999998</v>
      </c>
      <c r="F198" s="6">
        <v>542.16</v>
      </c>
      <c r="G198" s="6">
        <v>100.36</v>
      </c>
      <c r="H198" s="6">
        <v>19.59</v>
      </c>
      <c r="I198" s="6">
        <v>77.7</v>
      </c>
      <c r="J198" s="6">
        <v>29.47</v>
      </c>
      <c r="K198" s="6">
        <v>39.03</v>
      </c>
      <c r="L198" s="6">
        <v>24.52</v>
      </c>
      <c r="M198" s="6">
        <v>2.3199999999999998</v>
      </c>
      <c r="N198" s="6">
        <v>10.87</v>
      </c>
    </row>
    <row r="199" spans="1:14">
      <c r="A199">
        <v>2016</v>
      </c>
      <c r="B199">
        <v>6</v>
      </c>
      <c r="C199" t="s">
        <v>76</v>
      </c>
      <c r="D199" t="s">
        <v>275</v>
      </c>
      <c r="E199" s="6">
        <v>6.48</v>
      </c>
      <c r="F199" s="6">
        <v>194.28</v>
      </c>
      <c r="G199" s="6">
        <v>100.22</v>
      </c>
      <c r="H199" s="6">
        <v>21.8</v>
      </c>
      <c r="I199" s="6">
        <v>88.4</v>
      </c>
      <c r="J199" s="6">
        <v>28.72</v>
      </c>
      <c r="K199" s="6">
        <v>33.36</v>
      </c>
      <c r="L199" s="6">
        <v>25</v>
      </c>
      <c r="M199" s="6">
        <v>2.5499999999999998</v>
      </c>
      <c r="N199" s="6">
        <v>9.5500000000000007</v>
      </c>
    </row>
    <row r="200" spans="1:14">
      <c r="A200">
        <v>2016</v>
      </c>
      <c r="B200">
        <v>7</v>
      </c>
      <c r="C200" t="s">
        <v>78</v>
      </c>
      <c r="D200" t="s">
        <v>276</v>
      </c>
      <c r="E200" s="6">
        <v>22.25</v>
      </c>
      <c r="F200" s="6">
        <v>689.67</v>
      </c>
      <c r="G200" s="6">
        <v>100.14</v>
      </c>
      <c r="H200" s="6">
        <v>21.65</v>
      </c>
      <c r="I200" s="6">
        <v>90.32</v>
      </c>
      <c r="J200" s="6">
        <v>28.17</v>
      </c>
      <c r="K200" s="6">
        <v>32</v>
      </c>
      <c r="L200" s="6">
        <v>24.32</v>
      </c>
      <c r="M200" s="6">
        <v>3.08</v>
      </c>
      <c r="N200" s="6">
        <v>12.39</v>
      </c>
    </row>
    <row r="201" spans="1:14">
      <c r="A201">
        <v>2016</v>
      </c>
      <c r="B201">
        <v>8</v>
      </c>
      <c r="C201" t="s">
        <v>80</v>
      </c>
      <c r="D201" t="s">
        <v>277</v>
      </c>
      <c r="E201" s="6">
        <v>17.91</v>
      </c>
      <c r="F201" s="6">
        <v>555.25</v>
      </c>
      <c r="G201" s="6">
        <v>100.05</v>
      </c>
      <c r="H201" s="6">
        <v>21.6</v>
      </c>
      <c r="I201" s="6">
        <v>89.69</v>
      </c>
      <c r="J201" s="6">
        <v>28.25</v>
      </c>
      <c r="K201" s="6">
        <v>33.19</v>
      </c>
      <c r="L201" s="6">
        <v>24.26</v>
      </c>
      <c r="M201" s="6">
        <v>2.7</v>
      </c>
      <c r="N201" s="6">
        <v>17.420000000000002</v>
      </c>
    </row>
    <row r="202" spans="1:14">
      <c r="A202">
        <v>2016</v>
      </c>
      <c r="B202">
        <v>9</v>
      </c>
      <c r="C202" t="s">
        <v>82</v>
      </c>
      <c r="D202" t="s">
        <v>278</v>
      </c>
      <c r="E202" s="6">
        <v>10.82</v>
      </c>
      <c r="F202" s="6">
        <v>324.66000000000003</v>
      </c>
      <c r="G202" s="6">
        <v>100.4</v>
      </c>
      <c r="H202" s="6">
        <v>21.02</v>
      </c>
      <c r="I202" s="6">
        <v>88.75</v>
      </c>
      <c r="J202" s="6">
        <v>28.04</v>
      </c>
      <c r="K202" s="6">
        <v>31.99</v>
      </c>
      <c r="L202" s="6">
        <v>25.06</v>
      </c>
      <c r="M202" s="6">
        <v>1.78</v>
      </c>
      <c r="N202" s="6">
        <v>10.5</v>
      </c>
    </row>
    <row r="203" spans="1:14">
      <c r="A203">
        <v>2016</v>
      </c>
      <c r="B203">
        <v>10</v>
      </c>
      <c r="C203" t="s">
        <v>84</v>
      </c>
      <c r="D203" t="s">
        <v>279</v>
      </c>
      <c r="E203" s="6">
        <v>7.31</v>
      </c>
      <c r="F203" s="6">
        <v>226.76</v>
      </c>
      <c r="G203" s="6">
        <v>100.67</v>
      </c>
      <c r="H203" s="6">
        <v>18.96</v>
      </c>
      <c r="I203" s="6">
        <v>85.57</v>
      </c>
      <c r="J203" s="6">
        <v>26.97</v>
      </c>
      <c r="K203" s="6">
        <v>31.89</v>
      </c>
      <c r="L203" s="6">
        <v>20.38</v>
      </c>
      <c r="M203" s="6">
        <v>1.41</v>
      </c>
      <c r="N203" s="6">
        <v>8.06</v>
      </c>
    </row>
    <row r="204" spans="1:14">
      <c r="A204">
        <v>2016</v>
      </c>
      <c r="B204">
        <v>11</v>
      </c>
      <c r="C204" t="s">
        <v>86</v>
      </c>
      <c r="D204" t="s">
        <v>280</v>
      </c>
      <c r="E204" s="6">
        <v>6.11</v>
      </c>
      <c r="F204" s="6">
        <v>183.2</v>
      </c>
      <c r="G204" s="6">
        <v>101.13</v>
      </c>
      <c r="H204" s="6">
        <v>14.09</v>
      </c>
      <c r="I204" s="6">
        <v>81.290000000000006</v>
      </c>
      <c r="J204" s="6">
        <v>22.93</v>
      </c>
      <c r="K204" s="6">
        <v>31.06</v>
      </c>
      <c r="L204" s="6">
        <v>15.25</v>
      </c>
      <c r="M204" s="6">
        <v>1.34</v>
      </c>
      <c r="N204" s="6">
        <v>9.66</v>
      </c>
    </row>
    <row r="205" spans="1:14">
      <c r="A205">
        <v>2016</v>
      </c>
      <c r="B205">
        <v>12</v>
      </c>
      <c r="C205" t="s">
        <v>88</v>
      </c>
      <c r="D205" t="s">
        <v>281</v>
      </c>
      <c r="E205" s="6">
        <v>0.01</v>
      </c>
      <c r="F205" s="6">
        <v>0.35</v>
      </c>
      <c r="G205" s="6">
        <v>101.31</v>
      </c>
      <c r="H205" s="6">
        <v>11.43</v>
      </c>
      <c r="I205" s="6">
        <v>80.75</v>
      </c>
      <c r="J205" s="6">
        <v>19.75</v>
      </c>
      <c r="K205" s="6">
        <v>27.4</v>
      </c>
      <c r="L205" s="6">
        <v>11.65</v>
      </c>
      <c r="M205" s="6">
        <v>1.34</v>
      </c>
      <c r="N205" s="6">
        <v>7.42</v>
      </c>
    </row>
    <row r="206" spans="1:14">
      <c r="A206">
        <v>2017</v>
      </c>
      <c r="B206">
        <v>1</v>
      </c>
      <c r="C206" t="s">
        <v>62</v>
      </c>
      <c r="D206" t="s">
        <v>282</v>
      </c>
      <c r="E206" s="6">
        <v>0.17</v>
      </c>
      <c r="F206" s="6">
        <v>5.23</v>
      </c>
      <c r="G206" s="6">
        <v>101.42</v>
      </c>
      <c r="H206" s="6">
        <v>8.6199999999999992</v>
      </c>
      <c r="I206" s="6">
        <v>68.86</v>
      </c>
      <c r="J206" s="6">
        <v>18.03</v>
      </c>
      <c r="K206" s="6">
        <v>27.77</v>
      </c>
      <c r="L206" s="6">
        <v>7.28</v>
      </c>
      <c r="M206" s="6">
        <v>1.61</v>
      </c>
      <c r="N206" s="6">
        <v>8.0500000000000007</v>
      </c>
    </row>
    <row r="207" spans="1:14">
      <c r="A207">
        <v>2017</v>
      </c>
      <c r="B207">
        <v>2</v>
      </c>
      <c r="C207" t="s">
        <v>68</v>
      </c>
      <c r="D207" t="s">
        <v>283</v>
      </c>
      <c r="E207" s="6">
        <v>0.32</v>
      </c>
      <c r="F207" s="6">
        <v>9.06</v>
      </c>
      <c r="G207" s="6">
        <v>101.31</v>
      </c>
      <c r="H207" s="6">
        <v>8.9499999999999993</v>
      </c>
      <c r="I207" s="6">
        <v>55.34</v>
      </c>
      <c r="J207" s="6">
        <v>22.41</v>
      </c>
      <c r="K207" s="6">
        <v>32.32</v>
      </c>
      <c r="L207" s="6">
        <v>12.08</v>
      </c>
      <c r="M207" s="6">
        <v>1.51</v>
      </c>
      <c r="N207" s="6">
        <v>10</v>
      </c>
    </row>
    <row r="208" spans="1:14">
      <c r="A208">
        <v>2017</v>
      </c>
      <c r="B208">
        <v>3</v>
      </c>
      <c r="C208" t="s">
        <v>70</v>
      </c>
      <c r="D208" t="s">
        <v>284</v>
      </c>
      <c r="E208" s="6">
        <v>7.35</v>
      </c>
      <c r="F208" s="6">
        <v>227.94</v>
      </c>
      <c r="G208" s="6">
        <v>100.94</v>
      </c>
      <c r="H208" s="6">
        <v>13.4</v>
      </c>
      <c r="I208" s="6">
        <v>70.3</v>
      </c>
      <c r="J208" s="6">
        <v>24.76</v>
      </c>
      <c r="K208" s="6">
        <v>34.21</v>
      </c>
      <c r="L208" s="6">
        <v>16.309999999999999</v>
      </c>
      <c r="M208" s="6">
        <v>2.0099999999999998</v>
      </c>
      <c r="N208" s="6">
        <v>10.6</v>
      </c>
    </row>
    <row r="209" spans="1:14">
      <c r="A209">
        <v>2017</v>
      </c>
      <c r="B209">
        <v>4</v>
      </c>
      <c r="C209" t="s">
        <v>72</v>
      </c>
      <c r="D209" t="s">
        <v>285</v>
      </c>
      <c r="E209" s="6">
        <v>16.72</v>
      </c>
      <c r="F209" s="6">
        <v>501.55</v>
      </c>
      <c r="G209" s="6">
        <v>100.65</v>
      </c>
      <c r="H209" s="6">
        <v>18.7</v>
      </c>
      <c r="I209" s="6">
        <v>83.45</v>
      </c>
      <c r="J209" s="6">
        <v>27.36</v>
      </c>
      <c r="K209" s="6">
        <v>33.97</v>
      </c>
      <c r="L209" s="6">
        <v>20.8</v>
      </c>
      <c r="M209" s="6">
        <v>3.02</v>
      </c>
      <c r="N209" s="6">
        <v>10.64</v>
      </c>
    </row>
    <row r="210" spans="1:14">
      <c r="A210">
        <v>2017</v>
      </c>
      <c r="B210">
        <v>5</v>
      </c>
      <c r="C210" t="s">
        <v>74</v>
      </c>
      <c r="D210" t="s">
        <v>286</v>
      </c>
      <c r="E210" s="6">
        <v>11.11</v>
      </c>
      <c r="F210" s="6">
        <v>344.56</v>
      </c>
      <c r="G210" s="6">
        <v>100.43</v>
      </c>
      <c r="H210" s="6">
        <v>20.86</v>
      </c>
      <c r="I210" s="6">
        <v>85.98</v>
      </c>
      <c r="J210" s="6">
        <v>28.49</v>
      </c>
      <c r="K210" s="6">
        <v>33.24</v>
      </c>
      <c r="L210" s="6">
        <v>23.4</v>
      </c>
      <c r="M210" s="6">
        <v>1.97</v>
      </c>
      <c r="N210" s="6">
        <v>15.29</v>
      </c>
    </row>
    <row r="211" spans="1:14">
      <c r="A211">
        <v>2017</v>
      </c>
      <c r="B211">
        <v>6</v>
      </c>
      <c r="C211" t="s">
        <v>76</v>
      </c>
      <c r="D211" t="s">
        <v>287</v>
      </c>
      <c r="E211" s="6">
        <v>23.36</v>
      </c>
      <c r="F211" s="6">
        <v>700.82</v>
      </c>
      <c r="G211" s="6">
        <v>100.04</v>
      </c>
      <c r="H211" s="6">
        <v>22.29</v>
      </c>
      <c r="I211" s="6">
        <v>91.76</v>
      </c>
      <c r="J211" s="6">
        <v>28.36</v>
      </c>
      <c r="K211" s="6">
        <v>32.43</v>
      </c>
      <c r="L211" s="6">
        <v>25.93</v>
      </c>
      <c r="M211" s="6">
        <v>3</v>
      </c>
      <c r="N211" s="6">
        <v>16.21</v>
      </c>
    </row>
    <row r="212" spans="1:14">
      <c r="A212">
        <v>2017</v>
      </c>
      <c r="B212">
        <v>7</v>
      </c>
      <c r="C212" t="s">
        <v>78</v>
      </c>
      <c r="D212" t="s">
        <v>288</v>
      </c>
      <c r="E212" s="6">
        <v>29.37</v>
      </c>
      <c r="F212" s="6">
        <v>910.38</v>
      </c>
      <c r="G212" s="6">
        <v>100.07</v>
      </c>
      <c r="H212" s="6">
        <v>21.83</v>
      </c>
      <c r="I212" s="6">
        <v>91.48</v>
      </c>
      <c r="J212" s="6">
        <v>28.07</v>
      </c>
      <c r="K212" s="6">
        <v>32.11</v>
      </c>
      <c r="L212" s="6">
        <v>25.55</v>
      </c>
      <c r="M212" s="6">
        <v>2.91</v>
      </c>
      <c r="N212" s="6">
        <v>11.02</v>
      </c>
    </row>
    <row r="213" spans="1:14">
      <c r="A213">
        <v>2017</v>
      </c>
      <c r="B213">
        <v>8</v>
      </c>
      <c r="C213" t="s">
        <v>80</v>
      </c>
      <c r="D213" t="s">
        <v>289</v>
      </c>
      <c r="E213" s="6">
        <v>32.49</v>
      </c>
      <c r="F213" s="6">
        <v>1007.3</v>
      </c>
      <c r="G213" s="6">
        <v>100.2</v>
      </c>
      <c r="H213" s="6">
        <v>21.8</v>
      </c>
      <c r="I213" s="6">
        <v>90.42</v>
      </c>
      <c r="J213" s="6">
        <v>28.29</v>
      </c>
      <c r="K213" s="6">
        <v>32.4</v>
      </c>
      <c r="L213" s="6">
        <v>25.74</v>
      </c>
      <c r="M213" s="6">
        <v>2.35</v>
      </c>
      <c r="N213" s="6">
        <v>9.58</v>
      </c>
    </row>
    <row r="214" spans="1:14">
      <c r="A214">
        <v>2017</v>
      </c>
      <c r="B214">
        <v>9</v>
      </c>
      <c r="C214" t="s">
        <v>82</v>
      </c>
      <c r="D214" t="s">
        <v>290</v>
      </c>
      <c r="E214" s="6">
        <v>19.5</v>
      </c>
      <c r="F214" s="6">
        <v>585.11</v>
      </c>
      <c r="G214" s="6">
        <v>100.48</v>
      </c>
      <c r="H214" s="6">
        <v>21.35</v>
      </c>
      <c r="I214" s="6">
        <v>89.76</v>
      </c>
      <c r="J214" s="6">
        <v>28.11</v>
      </c>
      <c r="K214" s="6">
        <v>33.03</v>
      </c>
      <c r="L214" s="6">
        <v>25.32</v>
      </c>
      <c r="M214" s="6">
        <v>1.73</v>
      </c>
      <c r="N214" s="6">
        <v>7.73</v>
      </c>
    </row>
    <row r="215" spans="1:14">
      <c r="A215">
        <v>2017</v>
      </c>
      <c r="B215">
        <v>10</v>
      </c>
      <c r="C215" t="s">
        <v>84</v>
      </c>
      <c r="D215" t="s">
        <v>291</v>
      </c>
      <c r="E215" s="6">
        <v>14.84</v>
      </c>
      <c r="F215" s="6">
        <v>459.94</v>
      </c>
      <c r="G215" s="6">
        <v>100.76</v>
      </c>
      <c r="H215" s="6">
        <v>18.63</v>
      </c>
      <c r="I215" s="6">
        <v>85.91</v>
      </c>
      <c r="J215" s="6">
        <v>26.5</v>
      </c>
      <c r="K215" s="6">
        <v>32.369999999999997</v>
      </c>
      <c r="L215" s="6">
        <v>18.829999999999998</v>
      </c>
      <c r="M215" s="6">
        <v>1.71</v>
      </c>
      <c r="N215" s="6">
        <v>16.95</v>
      </c>
    </row>
    <row r="216" spans="1:14">
      <c r="A216">
        <v>2017</v>
      </c>
      <c r="B216">
        <v>11</v>
      </c>
      <c r="C216" t="s">
        <v>86</v>
      </c>
      <c r="D216" t="s">
        <v>292</v>
      </c>
      <c r="E216" s="6">
        <v>0.53</v>
      </c>
      <c r="F216" s="6">
        <v>15.88</v>
      </c>
      <c r="G216" s="6">
        <v>101.15</v>
      </c>
      <c r="H216" s="6">
        <v>13.73</v>
      </c>
      <c r="I216" s="6">
        <v>81.650000000000006</v>
      </c>
      <c r="J216" s="6">
        <v>22.38</v>
      </c>
      <c r="K216" s="6">
        <v>30.26</v>
      </c>
      <c r="L216" s="6">
        <v>13.35</v>
      </c>
      <c r="M216" s="6">
        <v>1.47</v>
      </c>
      <c r="N216" s="6">
        <v>6.92</v>
      </c>
    </row>
    <row r="217" spans="1:14">
      <c r="A217">
        <v>2017</v>
      </c>
      <c r="B217">
        <v>12</v>
      </c>
      <c r="C217" t="s">
        <v>88</v>
      </c>
      <c r="D217" t="s">
        <v>293</v>
      </c>
      <c r="E217" s="6">
        <v>4.75</v>
      </c>
      <c r="F217" s="6">
        <v>147.19</v>
      </c>
      <c r="G217" s="6">
        <v>101.39</v>
      </c>
      <c r="H217" s="6">
        <v>11.95</v>
      </c>
      <c r="I217" s="6">
        <v>82.82</v>
      </c>
      <c r="J217" s="6">
        <v>20.010000000000002</v>
      </c>
      <c r="K217" s="6">
        <v>26.51</v>
      </c>
      <c r="L217" s="6">
        <v>12.99</v>
      </c>
      <c r="M217" s="6">
        <v>1.27</v>
      </c>
      <c r="N217" s="6">
        <v>7.3</v>
      </c>
    </row>
    <row r="218" spans="1:14">
      <c r="A218">
        <v>2018</v>
      </c>
      <c r="B218">
        <v>1</v>
      </c>
      <c r="C218" t="s">
        <v>62</v>
      </c>
      <c r="D218" t="s">
        <v>294</v>
      </c>
      <c r="E218" s="6">
        <v>0.08</v>
      </c>
      <c r="F218" s="6">
        <v>2.4900000000000002</v>
      </c>
      <c r="G218" s="6">
        <v>101.28</v>
      </c>
      <c r="H218" s="6">
        <v>8.1</v>
      </c>
      <c r="I218" s="6">
        <v>74.819999999999993</v>
      </c>
      <c r="J218" s="6">
        <v>15.54</v>
      </c>
      <c r="K218" s="6">
        <v>24.46</v>
      </c>
      <c r="L218" s="6">
        <v>7.01</v>
      </c>
      <c r="M218" s="6">
        <v>1.45</v>
      </c>
      <c r="N218" s="6">
        <v>6.33</v>
      </c>
    </row>
    <row r="219" spans="1:14">
      <c r="A219">
        <v>2018</v>
      </c>
      <c r="B219">
        <v>2</v>
      </c>
      <c r="C219" t="s">
        <v>68</v>
      </c>
      <c r="D219" t="s">
        <v>295</v>
      </c>
      <c r="E219" s="6">
        <v>0.53</v>
      </c>
      <c r="F219" s="6">
        <v>14.85</v>
      </c>
      <c r="G219" s="6">
        <v>101.26</v>
      </c>
      <c r="H219" s="6">
        <v>10.46</v>
      </c>
      <c r="I219" s="6">
        <v>67.66</v>
      </c>
      <c r="J219" s="6">
        <v>21.48</v>
      </c>
      <c r="K219" s="6">
        <v>31.56</v>
      </c>
      <c r="L219" s="6">
        <v>11.83</v>
      </c>
      <c r="M219" s="6">
        <v>1.27</v>
      </c>
      <c r="N219" s="6">
        <v>7.86</v>
      </c>
    </row>
    <row r="220" spans="1:14">
      <c r="A220">
        <v>2018</v>
      </c>
      <c r="B220">
        <v>3</v>
      </c>
      <c r="C220" t="s">
        <v>70</v>
      </c>
      <c r="D220" t="s">
        <v>296</v>
      </c>
      <c r="E220" s="6">
        <v>1.32</v>
      </c>
      <c r="F220" s="6">
        <v>40.98</v>
      </c>
      <c r="G220" s="6">
        <v>100.9</v>
      </c>
      <c r="H220" s="6">
        <v>12.79</v>
      </c>
      <c r="I220" s="6">
        <v>61.95</v>
      </c>
      <c r="J220" s="6">
        <v>26.68</v>
      </c>
      <c r="K220" s="6">
        <v>35.18</v>
      </c>
      <c r="L220" s="6">
        <v>16.77</v>
      </c>
      <c r="M220" s="6">
        <v>1.7</v>
      </c>
      <c r="N220" s="6">
        <v>9.1300000000000008</v>
      </c>
    </row>
    <row r="221" spans="1:14">
      <c r="A221">
        <v>2018</v>
      </c>
      <c r="B221">
        <v>4</v>
      </c>
      <c r="C221" t="s">
        <v>72</v>
      </c>
      <c r="D221" t="s">
        <v>297</v>
      </c>
      <c r="E221" s="6">
        <v>11.8</v>
      </c>
      <c r="F221" s="6">
        <v>353.92</v>
      </c>
      <c r="G221" s="6">
        <v>100.75</v>
      </c>
      <c r="H221" s="6">
        <v>17</v>
      </c>
      <c r="I221" s="6">
        <v>75.97</v>
      </c>
      <c r="J221" s="6">
        <v>27.52</v>
      </c>
      <c r="K221" s="6">
        <v>35.4</v>
      </c>
      <c r="L221" s="6">
        <v>20.9</v>
      </c>
      <c r="M221" s="6">
        <v>1.86</v>
      </c>
      <c r="N221" s="6">
        <v>8.8000000000000007</v>
      </c>
    </row>
    <row r="222" spans="1:14">
      <c r="A222">
        <v>2018</v>
      </c>
      <c r="B222">
        <v>5</v>
      </c>
      <c r="C222" t="s">
        <v>74</v>
      </c>
      <c r="D222" t="s">
        <v>298</v>
      </c>
      <c r="E222" s="6">
        <v>19.3</v>
      </c>
      <c r="F222" s="6">
        <v>598.22</v>
      </c>
      <c r="G222" s="6">
        <v>100.51</v>
      </c>
      <c r="H222" s="6">
        <v>20.45</v>
      </c>
      <c r="I222" s="6">
        <v>87.77</v>
      </c>
      <c r="J222" s="6">
        <v>27.8</v>
      </c>
      <c r="K222" s="6">
        <v>32.99</v>
      </c>
      <c r="L222" s="6">
        <v>23.62</v>
      </c>
      <c r="M222" s="6">
        <v>2.37</v>
      </c>
      <c r="N222" s="6">
        <v>8.91</v>
      </c>
    </row>
    <row r="223" spans="1:14">
      <c r="A223">
        <v>2018</v>
      </c>
      <c r="B223">
        <v>6</v>
      </c>
      <c r="C223" t="s">
        <v>76</v>
      </c>
      <c r="D223" t="s">
        <v>299</v>
      </c>
      <c r="E223" s="6">
        <v>19.05</v>
      </c>
      <c r="F223" s="6">
        <v>571.41999999999996</v>
      </c>
      <c r="G223" s="6">
        <v>99.96</v>
      </c>
      <c r="H223" s="6">
        <v>22.1</v>
      </c>
      <c r="I223" s="6">
        <v>90.84</v>
      </c>
      <c r="J223" s="6">
        <v>28.37</v>
      </c>
      <c r="K223" s="6">
        <v>33.01</v>
      </c>
      <c r="L223" s="6">
        <v>25.23</v>
      </c>
      <c r="M223" s="6">
        <v>2.7</v>
      </c>
      <c r="N223" s="6">
        <v>12.18</v>
      </c>
    </row>
    <row r="224" spans="1:14">
      <c r="A224">
        <v>2018</v>
      </c>
      <c r="B224">
        <v>7</v>
      </c>
      <c r="C224" t="s">
        <v>78</v>
      </c>
      <c r="D224" t="s">
        <v>300</v>
      </c>
      <c r="E224" s="6">
        <v>19.86</v>
      </c>
      <c r="F224" s="6">
        <v>615.73</v>
      </c>
      <c r="G224" s="6">
        <v>99.86</v>
      </c>
      <c r="H224" s="6">
        <v>22.19</v>
      </c>
      <c r="I224" s="6">
        <v>90.52</v>
      </c>
      <c r="J224" s="6">
        <v>28.5</v>
      </c>
      <c r="K224" s="6">
        <v>34.409999999999997</v>
      </c>
      <c r="L224" s="6">
        <v>25.79</v>
      </c>
      <c r="M224" s="6">
        <v>3.01</v>
      </c>
      <c r="N224" s="6">
        <v>12.44</v>
      </c>
    </row>
    <row r="225" spans="1:14">
      <c r="A225">
        <v>2018</v>
      </c>
      <c r="B225">
        <v>8</v>
      </c>
      <c r="C225" t="s">
        <v>80</v>
      </c>
      <c r="D225" t="s">
        <v>301</v>
      </c>
      <c r="E225" s="6">
        <v>9.9499999999999993</v>
      </c>
      <c r="F225" s="6">
        <v>308.31</v>
      </c>
      <c r="G225" s="6">
        <v>99.95</v>
      </c>
      <c r="H225" s="6">
        <v>21.95</v>
      </c>
      <c r="I225" s="6">
        <v>90.29</v>
      </c>
      <c r="J225" s="6">
        <v>28.38</v>
      </c>
      <c r="K225" s="6">
        <v>32.159999999999997</v>
      </c>
      <c r="L225" s="6">
        <v>25.63</v>
      </c>
      <c r="M225" s="6">
        <v>2.4900000000000002</v>
      </c>
      <c r="N225" s="6">
        <v>10.27</v>
      </c>
    </row>
    <row r="226" spans="1:14">
      <c r="A226">
        <v>2018</v>
      </c>
      <c r="B226">
        <v>9</v>
      </c>
      <c r="C226" t="s">
        <v>82</v>
      </c>
      <c r="D226" t="s">
        <v>302</v>
      </c>
      <c r="E226" s="6">
        <v>5.77</v>
      </c>
      <c r="F226" s="6">
        <v>172.99</v>
      </c>
      <c r="G226" s="6">
        <v>100.52</v>
      </c>
      <c r="H226" s="6">
        <v>20.79</v>
      </c>
      <c r="I226" s="6">
        <v>87.19</v>
      </c>
      <c r="J226" s="6">
        <v>28.21</v>
      </c>
      <c r="K226" s="6">
        <v>32.979999999999997</v>
      </c>
      <c r="L226" s="6">
        <v>24.76</v>
      </c>
      <c r="M226" s="6">
        <v>1.87</v>
      </c>
      <c r="N226" s="6">
        <v>11.55</v>
      </c>
    </row>
    <row r="227" spans="1:14">
      <c r="A227">
        <v>2018</v>
      </c>
      <c r="B227">
        <v>10</v>
      </c>
      <c r="C227" t="s">
        <v>84</v>
      </c>
      <c r="D227" t="s">
        <v>303</v>
      </c>
      <c r="E227" s="6">
        <v>2.02</v>
      </c>
      <c r="F227" s="6">
        <v>62.54</v>
      </c>
      <c r="G227" s="6">
        <v>101.06</v>
      </c>
      <c r="H227" s="6">
        <v>16.239999999999998</v>
      </c>
      <c r="I227" s="6">
        <v>78.75</v>
      </c>
      <c r="J227" s="6">
        <v>25.94</v>
      </c>
      <c r="K227" s="6">
        <v>32.5</v>
      </c>
      <c r="L227" s="6">
        <v>18.7</v>
      </c>
      <c r="M227" s="6">
        <v>1.3</v>
      </c>
      <c r="N227" s="6">
        <v>7.83</v>
      </c>
    </row>
    <row r="228" spans="1:14">
      <c r="A228">
        <v>2018</v>
      </c>
      <c r="B228">
        <v>11</v>
      </c>
      <c r="C228" t="s">
        <v>86</v>
      </c>
      <c r="D228" t="s">
        <v>304</v>
      </c>
      <c r="E228" s="6">
        <v>0.78</v>
      </c>
      <c r="F228" s="6">
        <v>23.47</v>
      </c>
      <c r="G228" s="6">
        <v>101.3</v>
      </c>
      <c r="H228" s="6">
        <v>12.53</v>
      </c>
      <c r="I228" s="6">
        <v>71.89</v>
      </c>
      <c r="J228" s="6">
        <v>23.2</v>
      </c>
      <c r="K228" s="6">
        <v>30.81</v>
      </c>
      <c r="L228" s="6">
        <v>15.58</v>
      </c>
      <c r="M228" s="6">
        <v>1.1599999999999999</v>
      </c>
      <c r="N228" s="6">
        <v>6.36</v>
      </c>
    </row>
    <row r="229" spans="1:14">
      <c r="A229">
        <v>2018</v>
      </c>
      <c r="B229">
        <v>12</v>
      </c>
      <c r="C229" t="s">
        <v>88</v>
      </c>
      <c r="D229" t="s">
        <v>305</v>
      </c>
      <c r="E229" s="6">
        <v>1.06</v>
      </c>
      <c r="F229" s="6">
        <v>32.9</v>
      </c>
      <c r="G229" s="6">
        <v>101.43</v>
      </c>
      <c r="H229" s="6">
        <v>9.17</v>
      </c>
      <c r="I229" s="6">
        <v>68.790000000000006</v>
      </c>
      <c r="J229" s="6">
        <v>19.03</v>
      </c>
      <c r="K229" s="6">
        <v>27.28</v>
      </c>
      <c r="L229" s="6">
        <v>8.02</v>
      </c>
      <c r="M229" s="6">
        <v>1.53</v>
      </c>
      <c r="N229" s="6">
        <v>8.02</v>
      </c>
    </row>
    <row r="230" spans="1:14">
      <c r="A230">
        <v>2019</v>
      </c>
      <c r="B230">
        <v>1</v>
      </c>
      <c r="C230" t="s">
        <v>62</v>
      </c>
      <c r="D230" t="s">
        <v>306</v>
      </c>
      <c r="E230" s="6">
        <v>0</v>
      </c>
      <c r="F230" s="6">
        <v>0</v>
      </c>
      <c r="G230" s="6">
        <v>101.53</v>
      </c>
      <c r="H230" s="6">
        <v>7.47</v>
      </c>
      <c r="I230" s="6">
        <v>57.3</v>
      </c>
      <c r="J230" s="6">
        <v>19.04</v>
      </c>
      <c r="K230" s="6">
        <v>29.77</v>
      </c>
      <c r="L230" s="6">
        <v>9.6999999999999993</v>
      </c>
      <c r="M230" s="6">
        <v>1.39</v>
      </c>
      <c r="N230" s="6">
        <v>7.71</v>
      </c>
    </row>
    <row r="231" spans="1:14">
      <c r="A231">
        <v>2019</v>
      </c>
      <c r="B231">
        <v>2</v>
      </c>
      <c r="C231" t="s">
        <v>68</v>
      </c>
      <c r="D231" t="s">
        <v>307</v>
      </c>
      <c r="E231" s="6">
        <v>3.8</v>
      </c>
      <c r="F231" s="6">
        <v>106.34</v>
      </c>
      <c r="G231" s="6">
        <v>101.34</v>
      </c>
      <c r="H231" s="6">
        <v>8.92</v>
      </c>
      <c r="I231" s="6">
        <v>56.33</v>
      </c>
      <c r="J231" s="6">
        <v>22.07</v>
      </c>
      <c r="K231" s="6">
        <v>32.590000000000003</v>
      </c>
      <c r="L231" s="6">
        <v>10.61</v>
      </c>
      <c r="M231" s="6">
        <v>1.62</v>
      </c>
      <c r="N231" s="6">
        <v>8</v>
      </c>
    </row>
    <row r="232" spans="1:14">
      <c r="A232">
        <v>2019</v>
      </c>
      <c r="B232">
        <v>3</v>
      </c>
      <c r="C232" t="s">
        <v>70</v>
      </c>
      <c r="D232" t="s">
        <v>308</v>
      </c>
      <c r="E232" s="6">
        <v>2.2799999999999998</v>
      </c>
      <c r="F232" s="6">
        <v>70.55</v>
      </c>
      <c r="G232" s="6">
        <v>101.05</v>
      </c>
      <c r="H232" s="6">
        <v>12.04</v>
      </c>
      <c r="I232" s="6">
        <v>61.42</v>
      </c>
      <c r="J232" s="6">
        <v>25.64</v>
      </c>
      <c r="K232" s="6">
        <v>35.33</v>
      </c>
      <c r="L232" s="6">
        <v>11.54</v>
      </c>
      <c r="M232" s="6">
        <v>1.88</v>
      </c>
      <c r="N232" s="6">
        <v>10.81</v>
      </c>
    </row>
    <row r="233" spans="1:14">
      <c r="A233">
        <v>2019</v>
      </c>
      <c r="B233">
        <v>4</v>
      </c>
      <c r="C233" t="s">
        <v>72</v>
      </c>
      <c r="D233" t="s">
        <v>309</v>
      </c>
      <c r="E233" s="6">
        <v>2.93</v>
      </c>
      <c r="F233" s="6">
        <v>87.9</v>
      </c>
      <c r="G233" s="6">
        <v>100.72</v>
      </c>
      <c r="H233" s="6">
        <v>16.329999999999998</v>
      </c>
      <c r="I233" s="6">
        <v>67.349999999999994</v>
      </c>
      <c r="J233" s="6">
        <v>29.35</v>
      </c>
      <c r="K233" s="6">
        <v>39.74</v>
      </c>
      <c r="L233" s="6">
        <v>22.52</v>
      </c>
      <c r="M233" s="6">
        <v>2.3199999999999998</v>
      </c>
      <c r="N233" s="6">
        <v>12.37</v>
      </c>
    </row>
    <row r="234" spans="1:14">
      <c r="A234">
        <v>2019</v>
      </c>
      <c r="B234">
        <v>5</v>
      </c>
      <c r="C234" t="s">
        <v>74</v>
      </c>
      <c r="D234" t="s">
        <v>310</v>
      </c>
      <c r="E234" s="6">
        <v>11.44</v>
      </c>
      <c r="F234" s="6">
        <v>354.78</v>
      </c>
      <c r="G234" s="6">
        <v>100.4</v>
      </c>
      <c r="H234" s="6">
        <v>20.39</v>
      </c>
      <c r="I234" s="6">
        <v>78.89</v>
      </c>
      <c r="J234" s="6">
        <v>29.9</v>
      </c>
      <c r="K234" s="6">
        <v>38.159999999999997</v>
      </c>
      <c r="L234" s="6">
        <v>22.97</v>
      </c>
      <c r="M234" s="6">
        <v>3.2</v>
      </c>
      <c r="N234" s="6">
        <v>16.2</v>
      </c>
    </row>
    <row r="235" spans="1:14">
      <c r="A235">
        <v>2019</v>
      </c>
      <c r="B235">
        <v>6</v>
      </c>
      <c r="C235" t="s">
        <v>76</v>
      </c>
      <c r="D235" t="s">
        <v>311</v>
      </c>
      <c r="E235" s="6">
        <v>11.31</v>
      </c>
      <c r="F235" s="6">
        <v>339.18</v>
      </c>
      <c r="G235" s="6">
        <v>100.1</v>
      </c>
      <c r="H235" s="6">
        <v>22.11</v>
      </c>
      <c r="I235" s="6">
        <v>88.22</v>
      </c>
      <c r="J235" s="6">
        <v>28.96</v>
      </c>
      <c r="K235" s="6">
        <v>34.380000000000003</v>
      </c>
      <c r="L235" s="6">
        <v>24.68</v>
      </c>
      <c r="M235" s="6">
        <v>2.57</v>
      </c>
      <c r="N235" s="6">
        <v>9.61</v>
      </c>
    </row>
    <row r="236" spans="1:14">
      <c r="A236">
        <v>2019</v>
      </c>
      <c r="B236">
        <v>7</v>
      </c>
      <c r="C236" t="s">
        <v>78</v>
      </c>
      <c r="D236" t="s">
        <v>312</v>
      </c>
      <c r="E236" s="6">
        <v>24.03</v>
      </c>
      <c r="F236" s="6">
        <v>744.99</v>
      </c>
      <c r="G236" s="6">
        <v>100.04</v>
      </c>
      <c r="H236" s="6">
        <v>22.13</v>
      </c>
      <c r="I236" s="6">
        <v>90.47</v>
      </c>
      <c r="J236" s="6">
        <v>28.5</v>
      </c>
      <c r="K236" s="6">
        <v>33.21</v>
      </c>
      <c r="L236" s="6">
        <v>25.73</v>
      </c>
      <c r="M236" s="6">
        <v>3.29</v>
      </c>
      <c r="N236" s="6">
        <v>11.98</v>
      </c>
    </row>
    <row r="237" spans="1:14">
      <c r="A237">
        <v>2019</v>
      </c>
      <c r="B237">
        <v>8</v>
      </c>
      <c r="C237" t="s">
        <v>80</v>
      </c>
      <c r="D237" t="s">
        <v>313</v>
      </c>
      <c r="E237" s="6">
        <v>17.5</v>
      </c>
      <c r="F237" s="6">
        <v>542.39</v>
      </c>
      <c r="G237" s="6">
        <v>100.06</v>
      </c>
      <c r="H237" s="6">
        <v>21.82</v>
      </c>
      <c r="I237" s="6">
        <v>89.26</v>
      </c>
      <c r="J237" s="6">
        <v>28.52</v>
      </c>
      <c r="K237" s="6">
        <v>33.9</v>
      </c>
      <c r="L237" s="6">
        <v>25.32</v>
      </c>
      <c r="M237" s="6">
        <v>2.46</v>
      </c>
      <c r="N237" s="6">
        <v>12.07</v>
      </c>
    </row>
    <row r="238" spans="1:14">
      <c r="A238">
        <v>2019</v>
      </c>
      <c r="B238">
        <v>9</v>
      </c>
      <c r="C238" t="s">
        <v>82</v>
      </c>
      <c r="D238" t="s">
        <v>314</v>
      </c>
      <c r="E238" s="6">
        <v>11.95</v>
      </c>
      <c r="F238" s="6">
        <v>358.58</v>
      </c>
      <c r="G238" s="6">
        <v>100.61</v>
      </c>
      <c r="H238" s="6">
        <v>20.88</v>
      </c>
      <c r="I238" s="6">
        <v>87.92</v>
      </c>
      <c r="J238" s="6">
        <v>28.11</v>
      </c>
      <c r="K238" s="6">
        <v>33.31</v>
      </c>
      <c r="L238" s="6">
        <v>23.63</v>
      </c>
      <c r="M238" s="6">
        <v>1.96</v>
      </c>
      <c r="N238" s="6">
        <v>9.84</v>
      </c>
    </row>
    <row r="239" spans="1:14">
      <c r="A239">
        <v>2019</v>
      </c>
      <c r="B239">
        <v>10</v>
      </c>
      <c r="C239" t="s">
        <v>84</v>
      </c>
      <c r="D239" t="s">
        <v>315</v>
      </c>
      <c r="E239" s="6">
        <v>7.86</v>
      </c>
      <c r="F239" s="6">
        <v>243.8</v>
      </c>
      <c r="G239" s="6">
        <v>101.01</v>
      </c>
      <c r="H239" s="6">
        <v>18.190000000000001</v>
      </c>
      <c r="I239" s="6">
        <v>86.21</v>
      </c>
      <c r="J239" s="6">
        <v>26.2</v>
      </c>
      <c r="K239" s="6">
        <v>31.83</v>
      </c>
      <c r="L239" s="6">
        <v>20</v>
      </c>
      <c r="M239" s="6">
        <v>1.46</v>
      </c>
      <c r="N239" s="6">
        <v>7.2</v>
      </c>
    </row>
    <row r="240" spans="1:14">
      <c r="A240">
        <v>2019</v>
      </c>
      <c r="B240">
        <v>11</v>
      </c>
      <c r="C240" t="s">
        <v>86</v>
      </c>
      <c r="D240" t="s">
        <v>318</v>
      </c>
      <c r="E240" s="6">
        <v>4.47</v>
      </c>
      <c r="F240" s="6">
        <v>134.18</v>
      </c>
      <c r="G240" s="6">
        <v>101.17</v>
      </c>
      <c r="H240" s="6">
        <v>14.76</v>
      </c>
      <c r="I240" s="6">
        <v>82.03</v>
      </c>
      <c r="J240" s="6">
        <v>23.6</v>
      </c>
      <c r="K240" s="6">
        <v>30.21</v>
      </c>
      <c r="L240" s="6">
        <v>16.73</v>
      </c>
      <c r="M240" s="6">
        <v>1.3</v>
      </c>
      <c r="N240" s="6">
        <v>9.2200000000000006</v>
      </c>
    </row>
    <row r="241" spans="1:14">
      <c r="A241">
        <v>2019</v>
      </c>
      <c r="B241">
        <v>12</v>
      </c>
      <c r="C241" t="s">
        <v>88</v>
      </c>
      <c r="D241" t="s">
        <v>319</v>
      </c>
      <c r="E241" s="6">
        <v>0.56000000000000005</v>
      </c>
      <c r="F241" s="6">
        <v>17.440000000000001</v>
      </c>
      <c r="G241" s="6">
        <v>101.55</v>
      </c>
      <c r="H241" s="6">
        <v>10.43</v>
      </c>
      <c r="I241" s="6">
        <v>82.18</v>
      </c>
      <c r="J241" s="6">
        <v>18</v>
      </c>
      <c r="K241" s="6">
        <v>27.54</v>
      </c>
      <c r="L241" s="6">
        <v>8.76</v>
      </c>
      <c r="M241" s="6">
        <v>1.46</v>
      </c>
      <c r="N241" s="6">
        <v>7.34</v>
      </c>
    </row>
    <row r="242" spans="1:14">
      <c r="A242">
        <v>2020</v>
      </c>
      <c r="B242">
        <v>1</v>
      </c>
      <c r="C242" t="s">
        <v>62</v>
      </c>
      <c r="D242" t="s">
        <v>320</v>
      </c>
      <c r="E242" s="6">
        <v>2.34</v>
      </c>
      <c r="F242" s="6">
        <v>72.5</v>
      </c>
      <c r="G242" s="6">
        <v>101.51</v>
      </c>
      <c r="H242" s="6">
        <v>9.43</v>
      </c>
      <c r="I242" s="6">
        <v>79.69</v>
      </c>
      <c r="J242" s="6">
        <v>16.95</v>
      </c>
      <c r="K242" s="6">
        <v>26.73</v>
      </c>
      <c r="L242" s="6">
        <v>8.8800000000000008</v>
      </c>
      <c r="M242" s="6">
        <v>1.45</v>
      </c>
      <c r="N242" s="6">
        <v>7.99</v>
      </c>
    </row>
    <row r="243" spans="1:14">
      <c r="A243">
        <v>2020</v>
      </c>
      <c r="B243">
        <v>2</v>
      </c>
      <c r="C243" t="s">
        <v>68</v>
      </c>
      <c r="D243" t="s">
        <v>321</v>
      </c>
      <c r="E243" s="6">
        <v>0.09</v>
      </c>
      <c r="F243" s="6">
        <v>2.69</v>
      </c>
      <c r="G243" s="6">
        <v>101.49</v>
      </c>
      <c r="H243" s="6">
        <v>9.06</v>
      </c>
      <c r="I243" s="6">
        <v>66.3</v>
      </c>
      <c r="J243" s="6">
        <v>19.420000000000002</v>
      </c>
      <c r="K243" s="6">
        <v>29.1</v>
      </c>
      <c r="L243" s="6">
        <v>9.06</v>
      </c>
      <c r="M243" s="6">
        <v>1.4</v>
      </c>
      <c r="N243" s="6">
        <v>7.01</v>
      </c>
    </row>
    <row r="244" spans="1:14">
      <c r="A244">
        <v>2020</v>
      </c>
      <c r="B244">
        <v>3</v>
      </c>
      <c r="C244" t="s">
        <v>70</v>
      </c>
      <c r="D244" t="s">
        <v>322</v>
      </c>
      <c r="E244" s="6">
        <v>2.0699999999999998</v>
      </c>
      <c r="F244" s="6">
        <v>64.14</v>
      </c>
      <c r="G244" s="6">
        <v>101.07</v>
      </c>
      <c r="H244" s="6">
        <v>11.41</v>
      </c>
      <c r="I244" s="6">
        <v>59.19</v>
      </c>
      <c r="J244" s="6">
        <v>25.44</v>
      </c>
      <c r="K244" s="6">
        <v>36.450000000000003</v>
      </c>
      <c r="L244" s="6">
        <v>17.809999999999999</v>
      </c>
      <c r="M244" s="6">
        <v>1.36</v>
      </c>
      <c r="N244" s="6">
        <v>9.42</v>
      </c>
    </row>
    <row r="245" spans="1:14">
      <c r="A245">
        <v>2020</v>
      </c>
      <c r="B245">
        <v>4</v>
      </c>
      <c r="C245" t="s">
        <v>72</v>
      </c>
      <c r="D245" t="s">
        <v>323</v>
      </c>
      <c r="E245" s="6">
        <v>9.75</v>
      </c>
      <c r="F245" s="6">
        <v>292.41000000000003</v>
      </c>
      <c r="G245" s="6">
        <v>100.88</v>
      </c>
      <c r="H245" s="6">
        <v>16.14</v>
      </c>
      <c r="I245" s="6">
        <v>71.650000000000006</v>
      </c>
      <c r="J245" s="6">
        <v>28</v>
      </c>
      <c r="K245" s="6">
        <v>36.729999999999997</v>
      </c>
      <c r="L245" s="6">
        <v>22.14</v>
      </c>
      <c r="M245" s="6">
        <v>1.91</v>
      </c>
      <c r="N245" s="6">
        <v>9.3000000000000007</v>
      </c>
    </row>
    <row r="246" spans="1:14">
      <c r="A246">
        <v>2020</v>
      </c>
      <c r="B246">
        <v>5</v>
      </c>
      <c r="C246" t="s">
        <v>74</v>
      </c>
      <c r="D246" t="s">
        <v>324</v>
      </c>
      <c r="E246" s="6">
        <v>15.13</v>
      </c>
      <c r="F246" s="6">
        <v>469.01</v>
      </c>
      <c r="G246" s="6">
        <v>100.5</v>
      </c>
      <c r="H246" s="6">
        <v>19.95</v>
      </c>
      <c r="I246" s="6">
        <v>82.55</v>
      </c>
      <c r="J246" s="6">
        <v>28.51</v>
      </c>
      <c r="K246" s="6">
        <v>33.56</v>
      </c>
      <c r="L246" s="6">
        <v>23.61</v>
      </c>
      <c r="M246" s="6">
        <v>2.37</v>
      </c>
      <c r="N246" s="6">
        <v>20.58</v>
      </c>
    </row>
    <row r="247" spans="1:14">
      <c r="A247">
        <v>2020</v>
      </c>
      <c r="B247">
        <v>6</v>
      </c>
      <c r="C247" t="s">
        <v>76</v>
      </c>
      <c r="D247" t="s">
        <v>325</v>
      </c>
      <c r="E247" s="6">
        <v>14.06</v>
      </c>
      <c r="F247" s="6">
        <v>421.94</v>
      </c>
      <c r="G247" s="6">
        <v>100.22</v>
      </c>
      <c r="H247" s="6">
        <v>22.03</v>
      </c>
      <c r="I247" s="6">
        <v>90.44</v>
      </c>
      <c r="J247" s="6">
        <v>28.46</v>
      </c>
      <c r="K247" s="6">
        <v>33.22</v>
      </c>
      <c r="L247" s="6">
        <v>25.82</v>
      </c>
      <c r="M247" s="6">
        <v>2.86</v>
      </c>
      <c r="N247" s="6">
        <v>10.44</v>
      </c>
    </row>
    <row r="248" spans="1:14">
      <c r="A248">
        <v>2020</v>
      </c>
      <c r="B248">
        <v>7</v>
      </c>
      <c r="C248" t="s">
        <v>78</v>
      </c>
      <c r="D248" t="s">
        <v>326</v>
      </c>
      <c r="E248" s="6">
        <v>13.53</v>
      </c>
      <c r="F248" s="6">
        <v>419.46</v>
      </c>
      <c r="G248" s="6">
        <v>100.21</v>
      </c>
      <c r="H248" s="6">
        <v>22.22</v>
      </c>
      <c r="I248" s="6">
        <v>90.43</v>
      </c>
      <c r="J248" s="6">
        <v>28.61</v>
      </c>
      <c r="K248" s="6">
        <v>32.29</v>
      </c>
      <c r="L248" s="6">
        <v>25.61</v>
      </c>
      <c r="M248" s="6">
        <v>2.87</v>
      </c>
      <c r="N248" s="6">
        <v>9.7799999999999994</v>
      </c>
    </row>
    <row r="249" spans="1:14">
      <c r="A249">
        <v>2020</v>
      </c>
      <c r="B249">
        <v>8</v>
      </c>
      <c r="C249" t="s">
        <v>80</v>
      </c>
      <c r="D249" t="s">
        <v>327</v>
      </c>
      <c r="E249" s="6">
        <v>12.2</v>
      </c>
      <c r="F249" s="6">
        <v>378.17</v>
      </c>
      <c r="G249" s="6">
        <v>100.03</v>
      </c>
      <c r="H249" s="6">
        <v>21.94</v>
      </c>
      <c r="I249" s="6">
        <v>90.18</v>
      </c>
      <c r="J249" s="6">
        <v>28.41</v>
      </c>
      <c r="K249" s="6">
        <v>33.4</v>
      </c>
      <c r="L249" s="6">
        <v>25.43</v>
      </c>
      <c r="M249" s="6">
        <v>2.96</v>
      </c>
      <c r="N249" s="6">
        <v>14.81</v>
      </c>
    </row>
    <row r="250" spans="1:14">
      <c r="A250">
        <v>2020</v>
      </c>
      <c r="B250">
        <v>9</v>
      </c>
      <c r="C250" t="s">
        <v>82</v>
      </c>
      <c r="D250" t="s">
        <v>328</v>
      </c>
      <c r="E250" s="6">
        <v>11.73</v>
      </c>
      <c r="F250" s="6">
        <v>352.04</v>
      </c>
      <c r="G250" s="6">
        <v>100.39</v>
      </c>
      <c r="H250" s="6">
        <v>21.66</v>
      </c>
      <c r="I250" s="6">
        <v>89.07</v>
      </c>
      <c r="J250" s="6">
        <v>28.49</v>
      </c>
      <c r="K250" s="6">
        <v>33.57</v>
      </c>
      <c r="L250" s="6">
        <v>25.09</v>
      </c>
      <c r="M250" s="6">
        <v>2.08</v>
      </c>
      <c r="N250" s="6">
        <v>12.24</v>
      </c>
    </row>
    <row r="251" spans="1:14">
      <c r="A251">
        <v>2020</v>
      </c>
      <c r="B251">
        <v>10</v>
      </c>
      <c r="C251" t="s">
        <v>84</v>
      </c>
      <c r="D251" t="s">
        <v>329</v>
      </c>
      <c r="E251" s="6">
        <v>13.05</v>
      </c>
      <c r="F251" s="6">
        <v>404.45</v>
      </c>
      <c r="G251" s="6">
        <v>100.59</v>
      </c>
      <c r="H251" s="6">
        <v>20.22</v>
      </c>
      <c r="I251" s="6">
        <v>86.78</v>
      </c>
      <c r="J251" s="6">
        <v>27.81</v>
      </c>
      <c r="K251" s="6">
        <v>33.1</v>
      </c>
      <c r="L251" s="6">
        <v>22.15</v>
      </c>
      <c r="M251" s="6">
        <v>1.32</v>
      </c>
      <c r="N251" s="6">
        <v>11.19</v>
      </c>
    </row>
    <row r="252" spans="1:14">
      <c r="A252">
        <v>2020</v>
      </c>
      <c r="B252">
        <v>11</v>
      </c>
      <c r="C252" t="s">
        <v>86</v>
      </c>
      <c r="D252" t="s">
        <v>330</v>
      </c>
      <c r="E252" s="6">
        <v>1.49</v>
      </c>
      <c r="F252" s="6">
        <v>44.72</v>
      </c>
      <c r="G252" s="6">
        <v>101.3</v>
      </c>
      <c r="H252" s="6">
        <v>14.23</v>
      </c>
      <c r="I252" s="6">
        <v>82.49</v>
      </c>
      <c r="J252" s="6">
        <v>22.84</v>
      </c>
      <c r="K252" s="6">
        <v>30.01</v>
      </c>
      <c r="L252" s="6">
        <v>13.22</v>
      </c>
      <c r="M252" s="6">
        <v>1.29</v>
      </c>
      <c r="N252" s="6">
        <v>6.36</v>
      </c>
    </row>
    <row r="253" spans="1:14">
      <c r="A253">
        <v>2020</v>
      </c>
      <c r="B253">
        <v>12</v>
      </c>
      <c r="C253" t="s">
        <v>88</v>
      </c>
      <c r="D253" t="s">
        <v>331</v>
      </c>
      <c r="E253" s="6">
        <v>7.0000000000000007E-2</v>
      </c>
      <c r="F253" s="6">
        <v>2.2599999999999998</v>
      </c>
      <c r="G253" s="6">
        <v>101.38</v>
      </c>
      <c r="H253" s="6">
        <v>10.65</v>
      </c>
      <c r="I253" s="6">
        <v>82.52</v>
      </c>
      <c r="J253" s="6">
        <v>18.22</v>
      </c>
      <c r="K253" s="6">
        <v>26.81</v>
      </c>
      <c r="L253" s="6">
        <v>8.15</v>
      </c>
      <c r="M253" s="6">
        <v>1.27</v>
      </c>
      <c r="N253" s="6">
        <v>6.18</v>
      </c>
    </row>
    <row r="254" spans="1:14">
      <c r="A254">
        <v>2021</v>
      </c>
      <c r="B254">
        <v>1</v>
      </c>
      <c r="C254" t="s">
        <v>62</v>
      </c>
      <c r="D254" t="s">
        <v>332</v>
      </c>
      <c r="E254" s="6">
        <v>0.17</v>
      </c>
      <c r="F254" s="6">
        <v>5.4</v>
      </c>
      <c r="G254" s="6">
        <v>101.33</v>
      </c>
      <c r="H254" s="6">
        <v>9.36</v>
      </c>
      <c r="I254" s="6">
        <v>75.8</v>
      </c>
      <c r="J254" s="6">
        <v>17.579999999999998</v>
      </c>
      <c r="K254" s="6">
        <v>26.93</v>
      </c>
      <c r="L254" s="6">
        <v>8.32</v>
      </c>
      <c r="M254" s="6">
        <v>1.41</v>
      </c>
      <c r="N254" s="6">
        <v>6.59</v>
      </c>
    </row>
    <row r="255" spans="1:14">
      <c r="A255">
        <v>2021</v>
      </c>
      <c r="B255">
        <v>2</v>
      </c>
      <c r="C255" t="s">
        <v>68</v>
      </c>
      <c r="D255" t="s">
        <v>333</v>
      </c>
      <c r="E255" s="6">
        <v>0</v>
      </c>
      <c r="F255" s="6">
        <v>0.1</v>
      </c>
      <c r="G255" s="6">
        <v>101.25</v>
      </c>
      <c r="H255" s="6">
        <v>8.7799999999999994</v>
      </c>
      <c r="I255" s="6">
        <v>59.44</v>
      </c>
      <c r="J255" s="6">
        <v>20.91</v>
      </c>
      <c r="K255" s="6">
        <v>33.57</v>
      </c>
      <c r="L255" s="6">
        <v>8.5500000000000007</v>
      </c>
      <c r="M255" s="6">
        <v>1.49</v>
      </c>
      <c r="N255" s="6">
        <v>8.3000000000000007</v>
      </c>
    </row>
    <row r="256" spans="1:14">
      <c r="A256">
        <v>2021</v>
      </c>
      <c r="B256">
        <v>3</v>
      </c>
      <c r="C256" t="s">
        <v>70</v>
      </c>
      <c r="D256" t="s">
        <v>334</v>
      </c>
      <c r="E256" s="6">
        <v>0.51</v>
      </c>
      <c r="F256" s="6">
        <v>15.68</v>
      </c>
      <c r="G256" s="6">
        <v>100.88</v>
      </c>
      <c r="H256" s="6">
        <v>11.88</v>
      </c>
      <c r="I256" s="6">
        <v>54.3</v>
      </c>
      <c r="J256" s="6">
        <v>28.02</v>
      </c>
      <c r="K256" s="6">
        <v>39.17</v>
      </c>
      <c r="L256" s="6">
        <v>16.89</v>
      </c>
      <c r="M256" s="6">
        <v>1.72</v>
      </c>
      <c r="N256" s="6">
        <v>10.49</v>
      </c>
    </row>
    <row r="257" spans="1:14">
      <c r="A257">
        <v>2021</v>
      </c>
      <c r="B257">
        <v>4</v>
      </c>
      <c r="C257" t="s">
        <v>72</v>
      </c>
      <c r="D257" t="s">
        <v>335</v>
      </c>
      <c r="E257" s="6">
        <v>1.52</v>
      </c>
      <c r="F257" s="6">
        <v>45.5</v>
      </c>
      <c r="G257" s="6">
        <v>100.74</v>
      </c>
      <c r="H257" s="6">
        <v>14.02</v>
      </c>
      <c r="I257" s="6">
        <v>53.92</v>
      </c>
      <c r="J257" s="6">
        <v>30.94</v>
      </c>
      <c r="K257" s="6">
        <v>40.020000000000003</v>
      </c>
      <c r="L257" s="6">
        <v>21.22</v>
      </c>
      <c r="M257" s="6">
        <v>2.13</v>
      </c>
      <c r="N257" s="6">
        <v>10.14</v>
      </c>
    </row>
    <row r="258" spans="1:14">
      <c r="A258">
        <v>2021</v>
      </c>
      <c r="B258">
        <v>5</v>
      </c>
      <c r="C258" t="s">
        <v>74</v>
      </c>
      <c r="D258" t="s">
        <v>336</v>
      </c>
      <c r="E258" s="6">
        <v>9.5</v>
      </c>
      <c r="F258" s="6">
        <v>294.38</v>
      </c>
      <c r="G258" s="6">
        <v>100.46</v>
      </c>
      <c r="H258" s="6">
        <v>18.68</v>
      </c>
      <c r="I258" s="6">
        <v>71.59</v>
      </c>
      <c r="J258" s="6">
        <v>30.1</v>
      </c>
      <c r="K258" s="6">
        <v>38.380000000000003</v>
      </c>
      <c r="L258" s="6">
        <v>23.28</v>
      </c>
      <c r="M258" s="6">
        <v>2.35</v>
      </c>
      <c r="N258" s="6">
        <v>15.02</v>
      </c>
    </row>
    <row r="259" spans="1:14">
      <c r="A259">
        <v>2021</v>
      </c>
      <c r="B259">
        <v>6</v>
      </c>
      <c r="C259" t="s">
        <v>76</v>
      </c>
      <c r="D259" t="s">
        <v>337</v>
      </c>
      <c r="E259" s="6">
        <v>16.7</v>
      </c>
      <c r="F259" s="6">
        <v>500.94</v>
      </c>
      <c r="G259" s="6">
        <v>100.15</v>
      </c>
      <c r="H259" s="6">
        <v>21.5</v>
      </c>
      <c r="I259" s="6">
        <v>88.86</v>
      </c>
      <c r="J259" s="6">
        <v>28.35</v>
      </c>
      <c r="K259" s="6">
        <v>32.619999999999997</v>
      </c>
      <c r="L259" s="6">
        <v>24.73</v>
      </c>
      <c r="M259" s="6">
        <v>3.12</v>
      </c>
      <c r="N259" s="6">
        <v>10.57</v>
      </c>
    </row>
    <row r="260" spans="1:14">
      <c r="A260">
        <v>2021</v>
      </c>
      <c r="B260">
        <v>7</v>
      </c>
      <c r="C260" t="s">
        <v>78</v>
      </c>
      <c r="D260" t="s">
        <v>338</v>
      </c>
      <c r="E260" s="6">
        <v>14</v>
      </c>
      <c r="F260" s="6">
        <v>433.9</v>
      </c>
      <c r="G260" s="6">
        <v>100.04</v>
      </c>
      <c r="H260" s="6">
        <v>21.89</v>
      </c>
      <c r="I260" s="6">
        <v>88.94</v>
      </c>
      <c r="J260" s="6">
        <v>28.62</v>
      </c>
      <c r="K260" s="6">
        <v>32.99</v>
      </c>
      <c r="L260" s="6">
        <v>26.03</v>
      </c>
      <c r="M260" s="6">
        <v>2.92</v>
      </c>
      <c r="N260" s="6">
        <v>17.12</v>
      </c>
    </row>
    <row r="261" spans="1:14">
      <c r="A261">
        <v>2021</v>
      </c>
      <c r="B261">
        <v>8</v>
      </c>
      <c r="C261" t="s">
        <v>80</v>
      </c>
      <c r="D261" t="s">
        <v>339</v>
      </c>
      <c r="E261" s="6">
        <v>12.61</v>
      </c>
      <c r="F261" s="6">
        <v>390.86</v>
      </c>
      <c r="G261" s="6">
        <v>100.27</v>
      </c>
      <c r="H261" s="6">
        <v>21.77</v>
      </c>
      <c r="I261" s="6">
        <v>90.41</v>
      </c>
      <c r="J261" s="6">
        <v>28.28</v>
      </c>
      <c r="K261" s="6">
        <v>33.159999999999997</v>
      </c>
      <c r="L261" s="6">
        <v>25.33</v>
      </c>
      <c r="M261" s="6">
        <v>2.65</v>
      </c>
      <c r="N261" s="6">
        <v>11.58</v>
      </c>
    </row>
    <row r="262" spans="1:14">
      <c r="A262">
        <v>2021</v>
      </c>
      <c r="B262">
        <v>9</v>
      </c>
      <c r="C262" t="s">
        <v>82</v>
      </c>
      <c r="D262" t="s">
        <v>340</v>
      </c>
      <c r="E262" s="6">
        <v>9.2200000000000006</v>
      </c>
      <c r="F262" s="6">
        <v>276.52</v>
      </c>
      <c r="G262" s="6">
        <v>100.49</v>
      </c>
      <c r="H262" s="6">
        <v>20.66</v>
      </c>
      <c r="I262" s="6">
        <v>88.58</v>
      </c>
      <c r="J262" s="6">
        <v>27.8</v>
      </c>
      <c r="K262" s="6">
        <v>32.909999999999997</v>
      </c>
      <c r="L262" s="6">
        <v>23.62</v>
      </c>
      <c r="M262" s="6">
        <v>1.85</v>
      </c>
      <c r="N262" s="6">
        <v>11.57</v>
      </c>
    </row>
    <row r="263" spans="1:14">
      <c r="A263">
        <v>2021</v>
      </c>
      <c r="B263">
        <v>10</v>
      </c>
      <c r="C263" t="s">
        <v>84</v>
      </c>
      <c r="D263" t="s">
        <v>341</v>
      </c>
      <c r="E263" s="6">
        <v>6.58</v>
      </c>
      <c r="F263" s="6">
        <v>204.02</v>
      </c>
      <c r="G263" s="6">
        <v>100.77</v>
      </c>
      <c r="H263" s="6">
        <v>18.72</v>
      </c>
      <c r="I263" s="6">
        <v>84.29</v>
      </c>
      <c r="J263" s="6">
        <v>26.94</v>
      </c>
      <c r="K263" s="6">
        <v>33.15</v>
      </c>
      <c r="L263" s="6">
        <v>18.420000000000002</v>
      </c>
      <c r="M263" s="6">
        <v>1.49</v>
      </c>
      <c r="N263" s="6">
        <v>8.9</v>
      </c>
    </row>
    <row r="264" spans="1:14">
      <c r="A264">
        <v>2021</v>
      </c>
      <c r="B264">
        <v>11</v>
      </c>
      <c r="C264" t="s">
        <v>86</v>
      </c>
      <c r="D264" t="s">
        <v>342</v>
      </c>
      <c r="E264" s="6">
        <v>0.83</v>
      </c>
      <c r="F264" s="6">
        <v>24.95</v>
      </c>
      <c r="G264" s="6">
        <v>101.17</v>
      </c>
      <c r="H264" s="6">
        <v>13.05</v>
      </c>
      <c r="I264" s="6">
        <v>81.239999999999995</v>
      </c>
      <c r="J264" s="6">
        <v>21.72</v>
      </c>
      <c r="K264" s="6">
        <v>28.12</v>
      </c>
      <c r="L264" s="6">
        <v>12.77</v>
      </c>
      <c r="M264" s="6">
        <v>1.36</v>
      </c>
      <c r="N264" s="6">
        <v>6.75</v>
      </c>
    </row>
    <row r="265" spans="1:14">
      <c r="A265">
        <v>2021</v>
      </c>
      <c r="B265">
        <v>12</v>
      </c>
      <c r="C265" t="s">
        <v>88</v>
      </c>
      <c r="D265" t="s">
        <v>343</v>
      </c>
      <c r="E265" s="6">
        <v>4.2300000000000004</v>
      </c>
      <c r="F265" s="6">
        <v>131.02000000000001</v>
      </c>
      <c r="G265" s="6">
        <v>101.52</v>
      </c>
      <c r="H265" s="6">
        <v>11.08</v>
      </c>
      <c r="I265" s="6">
        <v>82.74</v>
      </c>
      <c r="J265" s="6">
        <v>18.72</v>
      </c>
      <c r="K265" s="6">
        <v>27.87</v>
      </c>
      <c r="L265" s="6">
        <v>8.93</v>
      </c>
      <c r="M265" s="6">
        <v>1.56</v>
      </c>
      <c r="N265" s="6">
        <v>9.85</v>
      </c>
    </row>
    <row r="266" spans="1:14">
      <c r="A266">
        <v>2022</v>
      </c>
      <c r="B266">
        <v>1</v>
      </c>
      <c r="C266" t="s">
        <v>62</v>
      </c>
      <c r="D266" t="s">
        <v>344</v>
      </c>
      <c r="E266" s="6">
        <v>0.74</v>
      </c>
      <c r="F266" s="6">
        <v>22.81</v>
      </c>
      <c r="G266" s="6">
        <v>101.4</v>
      </c>
      <c r="H266" s="6">
        <v>9.7100000000000009</v>
      </c>
      <c r="I266" s="6">
        <v>79.33</v>
      </c>
      <c r="J266" s="6">
        <v>17.48</v>
      </c>
      <c r="K266" s="6">
        <v>24.75</v>
      </c>
      <c r="L266" s="6">
        <v>9.31</v>
      </c>
      <c r="M266" s="6">
        <v>1.46</v>
      </c>
      <c r="N266" s="6">
        <v>7.93</v>
      </c>
    </row>
    <row r="267" spans="1:14">
      <c r="A267">
        <v>2022</v>
      </c>
      <c r="B267">
        <v>2</v>
      </c>
      <c r="C267" t="s">
        <v>68</v>
      </c>
      <c r="D267" t="s">
        <v>347</v>
      </c>
      <c r="E267" s="6">
        <v>1.99</v>
      </c>
      <c r="F267" s="6">
        <v>55.65</v>
      </c>
      <c r="G267" s="6">
        <v>101.27</v>
      </c>
      <c r="H267" s="6">
        <v>9.23</v>
      </c>
      <c r="I267" s="6">
        <v>68.69</v>
      </c>
      <c r="J267" s="6">
        <v>19.13</v>
      </c>
      <c r="K267" s="6">
        <v>29.43</v>
      </c>
      <c r="L267" s="6">
        <v>9.3800000000000008</v>
      </c>
      <c r="M267" s="6">
        <v>1.54</v>
      </c>
      <c r="N267" s="6">
        <v>9.06</v>
      </c>
    </row>
    <row r="268" spans="1:14">
      <c r="A268">
        <v>2022</v>
      </c>
      <c r="B268">
        <v>3</v>
      </c>
      <c r="C268" t="s">
        <v>70</v>
      </c>
      <c r="D268" t="s">
        <v>348</v>
      </c>
      <c r="E268" s="6">
        <v>0.36</v>
      </c>
      <c r="F268" s="6">
        <v>11.27</v>
      </c>
      <c r="G268" s="6">
        <v>100.83</v>
      </c>
      <c r="H268" s="6">
        <v>11.92</v>
      </c>
      <c r="I268" s="6">
        <v>58.3</v>
      </c>
      <c r="J268" s="6">
        <v>26.3</v>
      </c>
      <c r="K268" s="6">
        <v>37.159999999999997</v>
      </c>
      <c r="L268" s="6">
        <v>15.89</v>
      </c>
      <c r="M268" s="6">
        <v>2.02</v>
      </c>
      <c r="N268" s="6">
        <v>11.26</v>
      </c>
    </row>
    <row r="269" spans="1:14">
      <c r="A269">
        <v>2022</v>
      </c>
      <c r="B269">
        <v>4</v>
      </c>
      <c r="C269" t="s">
        <v>72</v>
      </c>
      <c r="D269" t="s">
        <v>349</v>
      </c>
      <c r="E269" s="6">
        <v>2.95</v>
      </c>
      <c r="F269" s="6">
        <v>88.41</v>
      </c>
      <c r="G269" s="6">
        <v>100.61</v>
      </c>
      <c r="H269" s="6">
        <v>16.93</v>
      </c>
      <c r="I269" s="6">
        <v>66</v>
      </c>
      <c r="J269" s="6">
        <v>30.4</v>
      </c>
      <c r="K269" s="6">
        <v>40.07</v>
      </c>
      <c r="L269" s="6">
        <v>22.98</v>
      </c>
      <c r="M269" s="6">
        <v>3.32</v>
      </c>
      <c r="N269" s="6">
        <v>12.24</v>
      </c>
    </row>
    <row r="270" spans="1:14">
      <c r="A270">
        <v>2022</v>
      </c>
      <c r="B270">
        <v>5</v>
      </c>
      <c r="C270" t="s">
        <v>74</v>
      </c>
      <c r="D270" t="s">
        <v>350</v>
      </c>
      <c r="E270" s="6">
        <v>13.88</v>
      </c>
      <c r="F270" s="6">
        <v>430.2</v>
      </c>
      <c r="G270" s="6">
        <v>100.29</v>
      </c>
      <c r="H270" s="6">
        <v>19.62</v>
      </c>
      <c r="I270" s="6">
        <v>79.31</v>
      </c>
      <c r="J270" s="6">
        <v>29.09</v>
      </c>
      <c r="K270" s="6">
        <v>38.270000000000003</v>
      </c>
      <c r="L270" s="6">
        <v>24.35</v>
      </c>
      <c r="M270" s="6">
        <v>2.58</v>
      </c>
      <c r="N270" s="6">
        <v>10.56</v>
      </c>
    </row>
    <row r="271" spans="1:14">
      <c r="A271">
        <v>2022</v>
      </c>
      <c r="B271">
        <v>6</v>
      </c>
      <c r="C271" t="s">
        <v>76</v>
      </c>
      <c r="D271" t="s">
        <v>351</v>
      </c>
      <c r="E271" s="6">
        <v>12.25</v>
      </c>
      <c r="F271" s="6">
        <v>367.47</v>
      </c>
      <c r="G271" s="6">
        <v>100.23</v>
      </c>
      <c r="H271" s="6">
        <v>21.31</v>
      </c>
      <c r="I271" s="6">
        <v>89.28</v>
      </c>
      <c r="J271" s="6">
        <v>28.15</v>
      </c>
      <c r="K271" s="6">
        <v>32.56</v>
      </c>
      <c r="L271" s="6">
        <v>25.04</v>
      </c>
      <c r="M271" s="6">
        <v>3.16</v>
      </c>
      <c r="N271" s="6">
        <v>10.56</v>
      </c>
    </row>
    <row r="272" spans="1:14">
      <c r="A272">
        <v>2022</v>
      </c>
      <c r="B272">
        <v>7</v>
      </c>
      <c r="C272" t="s">
        <v>78</v>
      </c>
      <c r="D272" t="s">
        <v>352</v>
      </c>
      <c r="E272" s="6">
        <v>5.35</v>
      </c>
      <c r="F272" s="6">
        <v>165.85</v>
      </c>
      <c r="G272" s="6">
        <v>100.22</v>
      </c>
      <c r="H272" s="6">
        <v>21.24</v>
      </c>
      <c r="I272" s="6">
        <v>87.49</v>
      </c>
      <c r="J272" s="6">
        <v>28.45</v>
      </c>
      <c r="K272" s="6">
        <v>32.71</v>
      </c>
      <c r="L272" s="6">
        <v>25.15</v>
      </c>
      <c r="M272" s="6">
        <v>2.64</v>
      </c>
      <c r="N272" s="6">
        <v>9.42</v>
      </c>
    </row>
    <row r="273" spans="1:14">
      <c r="A273">
        <v>2022</v>
      </c>
      <c r="B273">
        <v>8</v>
      </c>
      <c r="C273" t="s">
        <v>80</v>
      </c>
      <c r="D273" t="s">
        <v>353</v>
      </c>
      <c r="E273" s="6">
        <v>8.44</v>
      </c>
      <c r="F273" s="6">
        <v>261.66000000000003</v>
      </c>
      <c r="G273" s="6">
        <v>100.2</v>
      </c>
      <c r="H273" s="6">
        <v>21.23</v>
      </c>
      <c r="I273" s="6">
        <v>87.24</v>
      </c>
      <c r="J273" s="6">
        <v>28.5</v>
      </c>
      <c r="K273" s="6">
        <v>33.03</v>
      </c>
      <c r="L273" s="6">
        <v>24.89</v>
      </c>
      <c r="M273" s="6">
        <v>2.5099999999999998</v>
      </c>
      <c r="N273" s="6">
        <v>13.84</v>
      </c>
    </row>
    <row r="274" spans="1:14">
      <c r="A274">
        <v>2022</v>
      </c>
      <c r="B274">
        <v>9</v>
      </c>
      <c r="C274" t="s">
        <v>82</v>
      </c>
      <c r="D274" t="s">
        <v>354</v>
      </c>
      <c r="E274" s="6">
        <v>10.9</v>
      </c>
      <c r="F274" s="6">
        <v>326.97000000000003</v>
      </c>
      <c r="G274" s="6">
        <v>100.5</v>
      </c>
      <c r="H274" s="6">
        <v>20.84</v>
      </c>
      <c r="I274" s="6">
        <v>87.93</v>
      </c>
      <c r="J274" s="6">
        <v>28.09</v>
      </c>
      <c r="K274" s="6">
        <v>33.01</v>
      </c>
      <c r="L274" s="6">
        <v>24.7</v>
      </c>
      <c r="M274" s="6">
        <v>2</v>
      </c>
      <c r="N274" s="6">
        <v>9.4499999999999993</v>
      </c>
    </row>
    <row r="275" spans="1:14">
      <c r="A275">
        <v>2022</v>
      </c>
      <c r="B275">
        <v>10</v>
      </c>
      <c r="C275" t="s">
        <v>84</v>
      </c>
      <c r="D275" t="s">
        <v>355</v>
      </c>
      <c r="E275" s="6">
        <v>12.64</v>
      </c>
      <c r="F275" s="6">
        <v>391.92</v>
      </c>
      <c r="G275" s="6">
        <v>100.93</v>
      </c>
      <c r="H275" s="6">
        <v>18.309999999999999</v>
      </c>
      <c r="I275" s="6">
        <v>85.41</v>
      </c>
      <c r="J275" s="6">
        <v>26.41</v>
      </c>
      <c r="K275" s="6">
        <v>31.82</v>
      </c>
      <c r="L275" s="6">
        <v>18.760000000000002</v>
      </c>
      <c r="M275" s="6">
        <v>1.61</v>
      </c>
      <c r="N275" s="6">
        <v>12.09</v>
      </c>
    </row>
    <row r="276" spans="1:14">
      <c r="A276">
        <v>2022</v>
      </c>
      <c r="B276">
        <v>11</v>
      </c>
      <c r="C276" t="s">
        <v>86</v>
      </c>
      <c r="D276" t="s">
        <v>356</v>
      </c>
      <c r="E276" s="6">
        <v>0.38</v>
      </c>
      <c r="F276" s="6">
        <v>11.48</v>
      </c>
      <c r="G276" s="6">
        <v>101.18</v>
      </c>
      <c r="H276" s="6">
        <v>13.27</v>
      </c>
      <c r="I276" s="6">
        <v>78.48</v>
      </c>
      <c r="J276" s="6">
        <v>22.65</v>
      </c>
      <c r="K276" s="6">
        <v>30.15</v>
      </c>
      <c r="L276" s="6">
        <v>14.79</v>
      </c>
      <c r="M276" s="6">
        <v>1.29</v>
      </c>
      <c r="N276" s="6">
        <v>5.43</v>
      </c>
    </row>
    <row r="277" spans="1:14">
      <c r="A277">
        <v>2022</v>
      </c>
      <c r="B277">
        <v>12</v>
      </c>
      <c r="C277" t="s">
        <v>88</v>
      </c>
      <c r="D277" t="s">
        <v>357</v>
      </c>
      <c r="E277" s="6">
        <v>0.21</v>
      </c>
      <c r="F277" s="6">
        <v>6.53</v>
      </c>
      <c r="G277" s="6">
        <v>101.29</v>
      </c>
      <c r="H277" s="6">
        <v>10.59</v>
      </c>
      <c r="I277" s="6">
        <v>77.05</v>
      </c>
      <c r="J277" s="6">
        <v>19.32</v>
      </c>
      <c r="K277" s="6">
        <v>27.04</v>
      </c>
      <c r="L277" s="6">
        <v>10.49</v>
      </c>
      <c r="M277" s="6">
        <v>1.31</v>
      </c>
      <c r="N277" s="6">
        <v>7.48</v>
      </c>
    </row>
    <row r="278" spans="1:14">
      <c r="A278">
        <v>2023</v>
      </c>
      <c r="B278">
        <v>1</v>
      </c>
      <c r="C278" t="s">
        <v>62</v>
      </c>
      <c r="D278" t="s">
        <v>358</v>
      </c>
      <c r="E278" s="6">
        <v>0.23</v>
      </c>
      <c r="F278" s="6">
        <v>6.99</v>
      </c>
      <c r="G278" s="6">
        <v>101.47</v>
      </c>
      <c r="H278" s="6">
        <v>9.01</v>
      </c>
      <c r="I278" s="6">
        <v>72.319999999999993</v>
      </c>
      <c r="J278" s="6">
        <v>18</v>
      </c>
      <c r="K278" s="6">
        <v>28.25</v>
      </c>
      <c r="L278" s="6">
        <v>9.5299999999999994</v>
      </c>
      <c r="M278" s="6">
        <v>1.52</v>
      </c>
      <c r="N278" s="6">
        <v>7.4</v>
      </c>
    </row>
    <row r="279" spans="1:14">
      <c r="A279">
        <v>2023</v>
      </c>
      <c r="B279">
        <v>2</v>
      </c>
      <c r="C279" t="s">
        <v>68</v>
      </c>
      <c r="D279" t="s">
        <v>361</v>
      </c>
      <c r="E279" s="6">
        <v>0.05</v>
      </c>
      <c r="F279" s="6">
        <v>1.37</v>
      </c>
      <c r="G279" s="6">
        <v>101.25</v>
      </c>
      <c r="H279" s="6">
        <v>9.3000000000000007</v>
      </c>
      <c r="I279" s="6">
        <v>58.24</v>
      </c>
      <c r="J279" s="6">
        <v>22.23</v>
      </c>
      <c r="K279" s="6">
        <v>32.82</v>
      </c>
      <c r="L279" s="6">
        <v>11.59</v>
      </c>
      <c r="M279" s="6">
        <v>1.63</v>
      </c>
      <c r="N279" s="6">
        <v>9.67</v>
      </c>
    </row>
    <row r="280" spans="1:14">
      <c r="A280">
        <v>2023</v>
      </c>
      <c r="B280">
        <v>3</v>
      </c>
      <c r="C280" t="s">
        <v>70</v>
      </c>
      <c r="D280" t="s">
        <v>362</v>
      </c>
      <c r="E280" s="6">
        <v>4.84</v>
      </c>
      <c r="F280" s="6">
        <v>149.93</v>
      </c>
      <c r="G280" s="6">
        <v>101.1</v>
      </c>
      <c r="H280" s="6">
        <v>11.9</v>
      </c>
      <c r="I280" s="6">
        <v>59.23</v>
      </c>
      <c r="J280" s="6">
        <v>26.27</v>
      </c>
      <c r="K280" s="6">
        <v>35.409999999999997</v>
      </c>
      <c r="L280" s="6">
        <v>16.670000000000002</v>
      </c>
      <c r="M280" s="6">
        <v>1.72</v>
      </c>
      <c r="N280" s="6">
        <v>8.59</v>
      </c>
    </row>
    <row r="281" spans="1:14">
      <c r="A281">
        <v>2023</v>
      </c>
      <c r="B281">
        <v>4</v>
      </c>
      <c r="C281" t="s">
        <v>72</v>
      </c>
      <c r="D281" t="s">
        <v>363</v>
      </c>
      <c r="E281" s="6">
        <v>3.7</v>
      </c>
      <c r="F281" s="6">
        <v>111.09</v>
      </c>
      <c r="G281" s="6">
        <v>100.71</v>
      </c>
      <c r="H281" s="6">
        <v>15.6</v>
      </c>
      <c r="I281" s="6">
        <v>65.400000000000006</v>
      </c>
      <c r="J281" s="6">
        <v>29.11</v>
      </c>
      <c r="K281" s="6">
        <v>38.61</v>
      </c>
      <c r="L281" s="6">
        <v>20.84</v>
      </c>
      <c r="M281" s="6">
        <v>1.72</v>
      </c>
      <c r="N281" s="6">
        <v>9.34</v>
      </c>
    </row>
    <row r="282" spans="1:14">
      <c r="A282">
        <v>2023</v>
      </c>
      <c r="B282">
        <v>5</v>
      </c>
      <c r="C282" t="s">
        <v>74</v>
      </c>
      <c r="D282" t="s">
        <v>364</v>
      </c>
      <c r="E282" s="6">
        <v>9.2799999999999994</v>
      </c>
      <c r="F282" s="6">
        <v>287.60000000000002</v>
      </c>
      <c r="G282" s="6">
        <v>100.57</v>
      </c>
      <c r="H282" s="6">
        <v>18.239999999999998</v>
      </c>
      <c r="I282" s="6">
        <v>73.010000000000005</v>
      </c>
      <c r="J282" s="6">
        <v>29.47</v>
      </c>
      <c r="K282" s="6">
        <v>39.130000000000003</v>
      </c>
      <c r="L282" s="6">
        <v>23.55</v>
      </c>
      <c r="M282" s="6">
        <v>2.0099999999999998</v>
      </c>
      <c r="N282" s="6">
        <v>11.91</v>
      </c>
    </row>
    <row r="283" spans="1:14">
      <c r="A283">
        <v>2023</v>
      </c>
      <c r="B283">
        <v>6</v>
      </c>
      <c r="C283" t="s">
        <v>76</v>
      </c>
      <c r="D283" t="s">
        <v>365</v>
      </c>
      <c r="E283" s="6">
        <v>14.6</v>
      </c>
      <c r="F283" s="6">
        <v>437.99</v>
      </c>
      <c r="G283" s="6">
        <v>100.17</v>
      </c>
      <c r="H283" s="6">
        <v>21.76</v>
      </c>
      <c r="I283" s="6">
        <v>86.7</v>
      </c>
      <c r="J283" s="6">
        <v>29.05</v>
      </c>
      <c r="K283" s="6">
        <v>34.83</v>
      </c>
      <c r="L283" s="6">
        <v>25.4</v>
      </c>
      <c r="M283" s="6">
        <v>2.92</v>
      </c>
      <c r="N283" s="6">
        <v>11.29</v>
      </c>
    </row>
    <row r="284" spans="1:14">
      <c r="A284">
        <v>2023</v>
      </c>
      <c r="B284">
        <v>7</v>
      </c>
      <c r="C284" t="s">
        <v>78</v>
      </c>
      <c r="D284" t="s">
        <v>366</v>
      </c>
      <c r="E284" s="6">
        <v>7.1</v>
      </c>
      <c r="F284" s="6">
        <v>220.12</v>
      </c>
      <c r="G284" s="6">
        <v>100.21</v>
      </c>
      <c r="H284" s="6">
        <v>22.17</v>
      </c>
      <c r="I284" s="6">
        <v>88.43</v>
      </c>
      <c r="J284" s="6">
        <v>28.99</v>
      </c>
      <c r="K284" s="6">
        <v>34.29</v>
      </c>
      <c r="L284" s="6">
        <v>25.84</v>
      </c>
      <c r="M284" s="6">
        <v>2.66</v>
      </c>
      <c r="N284" s="6">
        <v>11.54</v>
      </c>
    </row>
    <row r="285" spans="1:14">
      <c r="A285">
        <v>2023</v>
      </c>
      <c r="B285">
        <v>8</v>
      </c>
      <c r="C285" t="s">
        <v>80</v>
      </c>
      <c r="D285" t="s">
        <v>367</v>
      </c>
      <c r="E285" s="6">
        <v>17.53</v>
      </c>
      <c r="F285" s="6">
        <v>543.46</v>
      </c>
      <c r="G285" s="6">
        <v>100.17</v>
      </c>
      <c r="H285" s="6">
        <v>21.81</v>
      </c>
      <c r="I285" s="6">
        <v>88.86</v>
      </c>
      <c r="J285" s="6">
        <v>28.61</v>
      </c>
      <c r="K285" s="6">
        <v>33.700000000000003</v>
      </c>
      <c r="L285" s="6">
        <v>25.06</v>
      </c>
      <c r="M285" s="6">
        <v>2.48</v>
      </c>
      <c r="N285" s="6">
        <v>14.9</v>
      </c>
    </row>
    <row r="286" spans="1:14">
      <c r="A286">
        <v>2023</v>
      </c>
      <c r="B286">
        <v>9</v>
      </c>
      <c r="C286" t="s">
        <v>82</v>
      </c>
      <c r="D286" t="s">
        <v>368</v>
      </c>
      <c r="E286" s="6">
        <v>11.47</v>
      </c>
      <c r="F286" s="6">
        <v>344.09</v>
      </c>
      <c r="G286" s="6">
        <v>100.39</v>
      </c>
      <c r="H286" s="6">
        <v>21.54</v>
      </c>
      <c r="I286" s="6">
        <v>88.78</v>
      </c>
      <c r="J286" s="6">
        <v>28.45</v>
      </c>
      <c r="K286" s="6">
        <v>33.22</v>
      </c>
      <c r="L286" s="6">
        <v>25.07</v>
      </c>
      <c r="M286" s="6">
        <v>1.95</v>
      </c>
      <c r="N286" s="6">
        <v>9.42</v>
      </c>
    </row>
    <row r="287" spans="1:14">
      <c r="A287">
        <v>2023</v>
      </c>
      <c r="B287">
        <v>10</v>
      </c>
      <c r="C287" t="s">
        <v>84</v>
      </c>
      <c r="D287" t="s">
        <v>369</v>
      </c>
      <c r="E287" s="6">
        <v>7.66</v>
      </c>
      <c r="F287" s="6">
        <v>237.34</v>
      </c>
      <c r="G287" s="6">
        <v>100.98</v>
      </c>
      <c r="H287" s="6">
        <v>17.95</v>
      </c>
      <c r="I287" s="6">
        <v>82.21</v>
      </c>
      <c r="J287" s="6">
        <v>26.73</v>
      </c>
      <c r="K287" s="6">
        <v>31.99</v>
      </c>
      <c r="L287" s="6">
        <v>18.63</v>
      </c>
      <c r="M287" s="6">
        <v>1.62</v>
      </c>
      <c r="N287" s="6">
        <v>9.09</v>
      </c>
    </row>
    <row r="288" spans="1:14">
      <c r="A288">
        <v>2023</v>
      </c>
      <c r="B288">
        <v>11</v>
      </c>
      <c r="C288" t="s">
        <v>86</v>
      </c>
      <c r="D288" t="s">
        <v>370</v>
      </c>
      <c r="E288" s="6">
        <v>5.05</v>
      </c>
      <c r="F288" s="6">
        <v>151.41999999999999</v>
      </c>
      <c r="G288" s="6">
        <v>101.34</v>
      </c>
      <c r="H288" s="6">
        <v>14.08</v>
      </c>
      <c r="I288" s="6">
        <v>80.39</v>
      </c>
      <c r="J288" s="6">
        <v>23.23</v>
      </c>
      <c r="K288" s="6">
        <v>30.17</v>
      </c>
      <c r="L288" s="6">
        <v>16.11</v>
      </c>
      <c r="M288" s="6">
        <v>1.38</v>
      </c>
      <c r="N288" s="6">
        <v>8.66</v>
      </c>
    </row>
    <row r="289" spans="1:14">
      <c r="A289">
        <v>2023</v>
      </c>
      <c r="B289">
        <v>12</v>
      </c>
      <c r="C289" t="s">
        <v>88</v>
      </c>
      <c r="D289" t="s">
        <v>371</v>
      </c>
      <c r="E289" s="6">
        <v>1.82</v>
      </c>
      <c r="F289" s="6">
        <v>56.48</v>
      </c>
      <c r="G289" s="6">
        <v>101.47</v>
      </c>
      <c r="H289" s="6">
        <v>11.34</v>
      </c>
      <c r="I289" s="6">
        <v>80.680000000000007</v>
      </c>
      <c r="J289" s="6">
        <v>19.62</v>
      </c>
      <c r="K289" s="6">
        <v>27.7</v>
      </c>
      <c r="L289" s="6">
        <v>11.44</v>
      </c>
      <c r="M289" s="6">
        <v>1.31</v>
      </c>
      <c r="N289" s="6">
        <v>6.87</v>
      </c>
    </row>
    <row r="290" spans="1:14">
      <c r="A290">
        <v>2024</v>
      </c>
      <c r="B290">
        <v>1</v>
      </c>
      <c r="C290" t="s">
        <v>62</v>
      </c>
      <c r="D290" t="s">
        <v>372</v>
      </c>
      <c r="E290" s="6">
        <v>0.52</v>
      </c>
      <c r="F290" s="6">
        <v>16.059999999999999</v>
      </c>
      <c r="G290" s="6">
        <v>101.59</v>
      </c>
      <c r="H290" s="6">
        <v>8.85</v>
      </c>
      <c r="I290" s="6">
        <v>78.180000000000007</v>
      </c>
      <c r="J290" s="6">
        <v>16.34</v>
      </c>
      <c r="K290" s="6">
        <v>24.93</v>
      </c>
      <c r="L290" s="6">
        <v>8.31</v>
      </c>
      <c r="M290" s="6">
        <v>1.51</v>
      </c>
      <c r="N290" s="6">
        <v>7.07</v>
      </c>
    </row>
    <row r="291" spans="1:14">
      <c r="A291">
        <v>2024</v>
      </c>
      <c r="B291">
        <v>2</v>
      </c>
      <c r="C291" t="s">
        <v>68</v>
      </c>
      <c r="D291" t="s">
        <v>376</v>
      </c>
      <c r="E291" s="6">
        <v>1.45</v>
      </c>
      <c r="F291" s="6">
        <v>42.04</v>
      </c>
      <c r="G291" s="6">
        <v>101.49</v>
      </c>
      <c r="H291" s="6">
        <v>9.98</v>
      </c>
      <c r="I291" s="6">
        <v>66.88</v>
      </c>
      <c r="J291" s="6">
        <v>20.84</v>
      </c>
      <c r="K291" s="6">
        <v>31.52</v>
      </c>
      <c r="L291" s="6">
        <v>10.3</v>
      </c>
      <c r="M291" s="6">
        <v>1.6</v>
      </c>
      <c r="N291" s="6">
        <v>8.77</v>
      </c>
    </row>
    <row r="292" spans="1:14">
      <c r="A292">
        <v>2024</v>
      </c>
      <c r="B292">
        <v>3</v>
      </c>
      <c r="C292" t="s">
        <v>70</v>
      </c>
      <c r="D292" t="s">
        <v>377</v>
      </c>
      <c r="E292" s="6">
        <v>4.22</v>
      </c>
      <c r="F292" s="6">
        <v>130.93</v>
      </c>
      <c r="G292" s="6">
        <v>101.15</v>
      </c>
      <c r="H292" s="6">
        <v>12.32</v>
      </c>
      <c r="I292" s="6">
        <v>62.36</v>
      </c>
      <c r="J292" s="6">
        <v>25.43</v>
      </c>
      <c r="K292" s="6">
        <v>34.61</v>
      </c>
      <c r="L292" s="6">
        <v>14.76</v>
      </c>
      <c r="M292" s="6">
        <v>1.67</v>
      </c>
      <c r="N292" s="6">
        <v>10.17</v>
      </c>
    </row>
    <row r="293" spans="1:14">
      <c r="A293">
        <v>2024</v>
      </c>
      <c r="B293">
        <v>4</v>
      </c>
      <c r="C293" t="s">
        <v>72</v>
      </c>
      <c r="D293" t="s">
        <v>378</v>
      </c>
      <c r="E293" s="6">
        <v>1</v>
      </c>
      <c r="F293" s="6">
        <v>30.1</v>
      </c>
      <c r="G293" s="6">
        <v>100.55</v>
      </c>
      <c r="H293" s="6">
        <v>16.100000000000001</v>
      </c>
      <c r="I293" s="6">
        <v>61.15</v>
      </c>
      <c r="J293" s="6">
        <v>31.04</v>
      </c>
      <c r="K293" s="6">
        <v>42.7</v>
      </c>
      <c r="L293" s="6">
        <v>22.24</v>
      </c>
      <c r="M293" s="6">
        <v>2.44</v>
      </c>
      <c r="N293" s="6">
        <v>11.15</v>
      </c>
    </row>
    <row r="294" spans="1:14">
      <c r="A294">
        <v>2024</v>
      </c>
      <c r="B294">
        <v>5</v>
      </c>
      <c r="C294" t="s">
        <v>74</v>
      </c>
      <c r="D294" t="s">
        <v>379</v>
      </c>
      <c r="E294" s="6">
        <v>14.74</v>
      </c>
      <c r="F294" s="6">
        <v>457.03</v>
      </c>
      <c r="G294" s="6">
        <v>100.39</v>
      </c>
      <c r="H294" s="6">
        <v>19.78</v>
      </c>
      <c r="I294" s="6">
        <v>76.849999999999994</v>
      </c>
      <c r="J294" s="6">
        <v>29.81</v>
      </c>
      <c r="K294" s="6">
        <v>41.73</v>
      </c>
      <c r="L294" s="6">
        <v>22.69</v>
      </c>
      <c r="M294" s="6">
        <v>2.42</v>
      </c>
      <c r="N294" s="6">
        <v>24.36</v>
      </c>
    </row>
    <row r="295" spans="1:14">
      <c r="A295">
        <v>2024</v>
      </c>
      <c r="B295">
        <v>6</v>
      </c>
      <c r="C295" t="s">
        <v>76</v>
      </c>
      <c r="D295" t="s">
        <v>380</v>
      </c>
      <c r="E295" s="6">
        <v>11.74</v>
      </c>
      <c r="F295" s="6">
        <v>352.31</v>
      </c>
      <c r="G295" s="6">
        <v>100.15</v>
      </c>
      <c r="H295" s="6">
        <v>22.54</v>
      </c>
      <c r="I295" s="6">
        <v>88.54</v>
      </c>
      <c r="J295" s="6">
        <v>29.24</v>
      </c>
      <c r="K295" s="6">
        <v>33.4</v>
      </c>
      <c r="L295" s="6">
        <v>25.25</v>
      </c>
      <c r="M295" s="6">
        <v>2.93</v>
      </c>
      <c r="N295" s="6">
        <v>13.83</v>
      </c>
    </row>
    <row r="296" spans="1:14">
      <c r="A296">
        <v>2024</v>
      </c>
      <c r="B296">
        <v>7</v>
      </c>
      <c r="C296" t="s">
        <v>78</v>
      </c>
      <c r="D296" t="s">
        <v>381</v>
      </c>
      <c r="E296" s="6">
        <v>10.53</v>
      </c>
      <c r="F296" s="6">
        <v>326.47000000000003</v>
      </c>
      <c r="G296" s="6">
        <v>99.96</v>
      </c>
      <c r="H296" s="6">
        <v>22.39</v>
      </c>
      <c r="I296" s="6">
        <v>89.25</v>
      </c>
      <c r="J296" s="6">
        <v>28.94</v>
      </c>
      <c r="K296" s="6">
        <v>33.200000000000003</v>
      </c>
      <c r="L296" s="6">
        <v>26.06</v>
      </c>
      <c r="M296" s="6">
        <v>3.18</v>
      </c>
      <c r="N296" s="6">
        <v>10.66</v>
      </c>
    </row>
    <row r="297" spans="1:14">
      <c r="A297">
        <v>2024</v>
      </c>
      <c r="B297">
        <v>8</v>
      </c>
      <c r="C297" t="s">
        <v>80</v>
      </c>
      <c r="D297" t="s">
        <v>382</v>
      </c>
      <c r="E297" s="6">
        <v>24.54</v>
      </c>
      <c r="F297" s="6">
        <v>760.74</v>
      </c>
      <c r="G297" s="6">
        <v>100.32</v>
      </c>
      <c r="H297" s="6">
        <v>21.7</v>
      </c>
      <c r="I297" s="6">
        <v>91.43</v>
      </c>
      <c r="J297" s="6">
        <v>28.02</v>
      </c>
      <c r="K297" s="6">
        <v>32.15</v>
      </c>
      <c r="L297" s="6">
        <v>25.05</v>
      </c>
      <c r="M297" s="6">
        <v>2.91</v>
      </c>
      <c r="N297" s="6">
        <v>15.31</v>
      </c>
    </row>
    <row r="298" spans="1:14">
      <c r="A298">
        <v>2024</v>
      </c>
      <c r="B298">
        <v>9</v>
      </c>
      <c r="C298" t="s">
        <v>82</v>
      </c>
      <c r="D298" t="s">
        <v>383</v>
      </c>
      <c r="E298" s="6">
        <v>15.93</v>
      </c>
      <c r="F298" s="6">
        <v>477.99</v>
      </c>
      <c r="G298" s="6">
        <v>100.33</v>
      </c>
      <c r="H298" s="6">
        <v>21.8</v>
      </c>
      <c r="I298" s="6">
        <v>89.58</v>
      </c>
      <c r="J298" s="6">
        <v>28.46</v>
      </c>
      <c r="K298" s="6">
        <v>33.92</v>
      </c>
      <c r="L298" s="6">
        <v>24.31</v>
      </c>
      <c r="M298" s="6">
        <v>2.0299999999999998</v>
      </c>
      <c r="N298" s="6">
        <v>12.36</v>
      </c>
    </row>
    <row r="299" spans="1:14">
      <c r="A299">
        <v>2024</v>
      </c>
      <c r="B299">
        <v>10</v>
      </c>
      <c r="C299" t="s">
        <v>84</v>
      </c>
      <c r="D299" t="s">
        <v>384</v>
      </c>
      <c r="E299" s="6">
        <v>14.07</v>
      </c>
      <c r="F299" s="6">
        <v>436.1</v>
      </c>
      <c r="G299" s="6">
        <v>100.86</v>
      </c>
      <c r="H299" s="6">
        <v>19.559999999999999</v>
      </c>
      <c r="I299" s="6">
        <v>85.84</v>
      </c>
      <c r="J299" s="6">
        <v>27.46</v>
      </c>
      <c r="K299" s="6">
        <v>32.36</v>
      </c>
      <c r="L299" s="6">
        <v>22.31</v>
      </c>
      <c r="M299" s="6">
        <v>1.39</v>
      </c>
      <c r="N299" s="6">
        <v>8.4</v>
      </c>
    </row>
    <row r="300" spans="1:14">
      <c r="A300">
        <v>2024</v>
      </c>
      <c r="B300">
        <v>11</v>
      </c>
      <c r="C300" t="s">
        <v>86</v>
      </c>
      <c r="D300" t="s">
        <v>385</v>
      </c>
      <c r="E300" s="6">
        <v>0.71</v>
      </c>
      <c r="F300" s="6">
        <v>21.26</v>
      </c>
      <c r="G300" s="6">
        <v>101.24</v>
      </c>
      <c r="H300" s="6">
        <v>13.82</v>
      </c>
      <c r="I300" s="6">
        <v>80.52</v>
      </c>
      <c r="J300" s="6">
        <v>22.75</v>
      </c>
      <c r="K300" s="6">
        <v>30.13</v>
      </c>
      <c r="L300" s="6">
        <v>14.97</v>
      </c>
      <c r="M300" s="6">
        <v>1.42</v>
      </c>
      <c r="N300" s="6">
        <v>5.96</v>
      </c>
    </row>
    <row r="301" spans="1:14">
      <c r="A301">
        <v>2024</v>
      </c>
      <c r="B301">
        <v>12</v>
      </c>
      <c r="C301" t="s">
        <v>88</v>
      </c>
      <c r="D301" t="s">
        <v>386</v>
      </c>
      <c r="E301" s="6">
        <v>0.09</v>
      </c>
      <c r="F301" s="6">
        <v>2.73</v>
      </c>
      <c r="G301" s="6">
        <v>101.4</v>
      </c>
      <c r="H301" s="6">
        <v>9.93</v>
      </c>
      <c r="I301" s="6">
        <v>78.73</v>
      </c>
      <c r="J301" s="6">
        <v>17.989999999999998</v>
      </c>
      <c r="K301" s="6">
        <v>25.56</v>
      </c>
      <c r="L301" s="6">
        <v>10.11</v>
      </c>
      <c r="M301" s="6">
        <v>1.5</v>
      </c>
      <c r="N301" s="6">
        <v>6.75</v>
      </c>
    </row>
    <row r="302" spans="1:14">
      <c r="A302">
        <v>2025</v>
      </c>
      <c r="B302">
        <v>1</v>
      </c>
      <c r="C302" t="s">
        <v>62</v>
      </c>
      <c r="D302" t="s">
        <v>387</v>
      </c>
      <c r="E302" s="6">
        <v>0.06</v>
      </c>
      <c r="F302" s="6">
        <v>1.73</v>
      </c>
      <c r="G302" s="6">
        <v>101.4</v>
      </c>
      <c r="H302" s="6">
        <v>9.43</v>
      </c>
      <c r="I302" s="6">
        <v>73.97</v>
      </c>
      <c r="J302" s="6">
        <v>18.3</v>
      </c>
      <c r="K302" s="6">
        <v>27.8</v>
      </c>
      <c r="L302" s="6">
        <v>9.59</v>
      </c>
      <c r="M302" s="6">
        <v>1.43</v>
      </c>
      <c r="N302" s="6">
        <v>7.58</v>
      </c>
    </row>
    <row r="303" spans="1:14">
      <c r="A303">
        <v>2025</v>
      </c>
      <c r="B303">
        <v>2</v>
      </c>
      <c r="C303" t="s">
        <v>68</v>
      </c>
      <c r="D303" t="s">
        <v>390</v>
      </c>
      <c r="E303" s="6">
        <v>0.1</v>
      </c>
      <c r="F303" s="6">
        <v>2.72</v>
      </c>
      <c r="G303" s="6">
        <v>101.29</v>
      </c>
      <c r="H303" s="6">
        <v>9.4</v>
      </c>
      <c r="I303" s="6">
        <v>58.75</v>
      </c>
      <c r="J303" s="6">
        <v>22.25</v>
      </c>
      <c r="K303" s="6">
        <v>31.9</v>
      </c>
      <c r="L303" s="6">
        <v>11.51</v>
      </c>
      <c r="M303" s="6">
        <v>1.37</v>
      </c>
      <c r="N303" s="6">
        <v>7.93</v>
      </c>
    </row>
    <row r="304" spans="1:14">
      <c r="A304">
        <v>2025</v>
      </c>
      <c r="B304">
        <v>3</v>
      </c>
      <c r="C304" t="s">
        <v>70</v>
      </c>
      <c r="D304" t="s">
        <v>391</v>
      </c>
      <c r="E304" s="6">
        <v>0.08</v>
      </c>
      <c r="F304" s="6">
        <v>2.4900000000000002</v>
      </c>
      <c r="G304" s="6">
        <v>100.93</v>
      </c>
      <c r="H304" s="6">
        <v>11.78</v>
      </c>
      <c r="I304" s="6">
        <v>55.13</v>
      </c>
      <c r="J304" s="6">
        <v>27.34</v>
      </c>
      <c r="K304" s="6">
        <v>39.229999999999997</v>
      </c>
      <c r="L304" s="6">
        <v>15.2</v>
      </c>
      <c r="M304" s="6">
        <v>1.94</v>
      </c>
      <c r="N304" s="6">
        <v>8.2799999999999994</v>
      </c>
    </row>
    <row r="305" spans="1:14">
      <c r="A305">
        <v>2025</v>
      </c>
      <c r="B305">
        <v>4</v>
      </c>
      <c r="C305" t="s">
        <v>72</v>
      </c>
      <c r="D305" t="s">
        <v>392</v>
      </c>
      <c r="E305" s="6">
        <v>5.46</v>
      </c>
      <c r="F305" s="6">
        <v>163.66999999999999</v>
      </c>
      <c r="G305" s="6">
        <v>100.77</v>
      </c>
      <c r="H305" s="6">
        <v>16.3</v>
      </c>
      <c r="I305" s="6">
        <v>66.349999999999994</v>
      </c>
      <c r="J305" s="6">
        <v>29.42</v>
      </c>
      <c r="K305" s="6">
        <v>38.17</v>
      </c>
      <c r="L305" s="6">
        <v>23.43</v>
      </c>
      <c r="M305" s="6">
        <v>2.11</v>
      </c>
      <c r="N305" s="6">
        <v>10.87</v>
      </c>
    </row>
    <row r="306" spans="1:14">
      <c r="A306">
        <v>2025</v>
      </c>
      <c r="B306">
        <v>5</v>
      </c>
      <c r="C306" t="s">
        <v>74</v>
      </c>
      <c r="D306" t="s">
        <v>393</v>
      </c>
      <c r="E306" s="6">
        <v>15.76</v>
      </c>
      <c r="F306" s="6">
        <v>488.6</v>
      </c>
      <c r="G306" s="6">
        <v>100.35</v>
      </c>
      <c r="H306" s="6">
        <v>19.579999999999998</v>
      </c>
      <c r="I306" s="6">
        <v>77.650000000000006</v>
      </c>
      <c r="J306" s="6">
        <v>29.46</v>
      </c>
      <c r="K306" s="6">
        <v>38.85</v>
      </c>
      <c r="L306" s="6">
        <v>24.19</v>
      </c>
      <c r="M306" s="6">
        <v>2.31</v>
      </c>
      <c r="N306" s="6">
        <v>16.63</v>
      </c>
    </row>
    <row r="307" spans="1:14">
      <c r="A307">
        <v>2025</v>
      </c>
      <c r="B307">
        <v>6</v>
      </c>
      <c r="C307" t="s">
        <v>76</v>
      </c>
      <c r="D307" t="s">
        <v>394</v>
      </c>
      <c r="E307" s="6">
        <v>12.7</v>
      </c>
      <c r="F307" s="6">
        <v>380.9</v>
      </c>
      <c r="G307" s="6">
        <v>100.07</v>
      </c>
      <c r="H307" s="6">
        <v>21.75</v>
      </c>
      <c r="I307" s="6">
        <v>88.49</v>
      </c>
      <c r="J307" s="6">
        <v>28.63</v>
      </c>
      <c r="K307" s="6">
        <v>33.479999999999997</v>
      </c>
      <c r="L307" s="6">
        <v>25.42</v>
      </c>
      <c r="M307" s="6">
        <v>2.73</v>
      </c>
      <c r="N307" s="6">
        <v>11.21</v>
      </c>
    </row>
    <row r="308" spans="1:14">
      <c r="A308">
        <v>2025</v>
      </c>
      <c r="B308">
        <v>7</v>
      </c>
      <c r="C308" t="s">
        <v>78</v>
      </c>
      <c r="D308" t="s">
        <v>395</v>
      </c>
      <c r="E308" s="6">
        <v>21.12</v>
      </c>
      <c r="F308" s="6">
        <v>654.74</v>
      </c>
      <c r="G308" s="6">
        <v>99.9</v>
      </c>
      <c r="H308" s="6">
        <v>21.91</v>
      </c>
      <c r="I308" s="6">
        <v>90.34</v>
      </c>
      <c r="J308" s="6">
        <v>28.33</v>
      </c>
      <c r="K308" s="6">
        <v>33.33</v>
      </c>
      <c r="L308" s="6">
        <v>25.51</v>
      </c>
      <c r="M308" s="6">
        <v>2.93</v>
      </c>
      <c r="N308" s="6">
        <v>13.73</v>
      </c>
    </row>
    <row r="309" spans="1:14">
      <c r="A309">
        <v>2025</v>
      </c>
      <c r="B309">
        <v>8</v>
      </c>
      <c r="C309" t="s">
        <v>80</v>
      </c>
      <c r="D309" t="s">
        <v>396</v>
      </c>
      <c r="E309" s="6">
        <v>13.12</v>
      </c>
      <c r="F309" s="6">
        <v>406.62</v>
      </c>
      <c r="G309" s="6">
        <v>100.35</v>
      </c>
      <c r="H309" s="6">
        <v>21.35</v>
      </c>
      <c r="I309" s="6">
        <v>90.16</v>
      </c>
      <c r="J309" s="6">
        <v>28.01</v>
      </c>
      <c r="K309" s="6">
        <v>32.340000000000003</v>
      </c>
      <c r="L309" s="6">
        <v>24.8</v>
      </c>
      <c r="M309" s="6">
        <v>2.48</v>
      </c>
      <c r="N309" s="6">
        <v>10.88</v>
      </c>
    </row>
    <row r="310" spans="1:14">
      <c r="A310">
        <v>2025</v>
      </c>
      <c r="B310">
        <v>9</v>
      </c>
      <c r="C310" t="s">
        <v>82</v>
      </c>
      <c r="D310" t="s">
        <v>397</v>
      </c>
      <c r="E310" s="6">
        <v>11.13</v>
      </c>
      <c r="F310" s="6">
        <v>333.76</v>
      </c>
      <c r="G310" s="6">
        <v>100.45</v>
      </c>
      <c r="H310" s="6">
        <v>21.11</v>
      </c>
      <c r="I310" s="6">
        <v>89</v>
      </c>
      <c r="J310" s="6">
        <v>28.06</v>
      </c>
      <c r="K310" s="6">
        <v>32.31</v>
      </c>
      <c r="L310" s="6">
        <v>24.62</v>
      </c>
      <c r="M310" s="6">
        <v>1.61</v>
      </c>
      <c r="N310" s="6">
        <v>8.02</v>
      </c>
    </row>
    <row r="311" spans="1:14">
      <c r="A311">
        <v>2025</v>
      </c>
      <c r="B311">
        <v>10</v>
      </c>
      <c r="C311" t="s">
        <v>84</v>
      </c>
      <c r="D311" t="s">
        <v>398</v>
      </c>
      <c r="E311" s="6">
        <v>7.92</v>
      </c>
      <c r="F311" s="6">
        <v>245.53</v>
      </c>
      <c r="G311" s="6">
        <v>100.91</v>
      </c>
      <c r="H311" s="6">
        <v>18.73</v>
      </c>
      <c r="I311" s="6">
        <v>84.67</v>
      </c>
      <c r="J311" s="6">
        <v>27.01</v>
      </c>
      <c r="K311" s="6">
        <v>32.24</v>
      </c>
      <c r="L311" s="6">
        <v>21.43</v>
      </c>
      <c r="M311" s="6">
        <v>1.41</v>
      </c>
      <c r="N311" s="6">
        <v>7.65</v>
      </c>
    </row>
    <row r="312" spans="1:14">
      <c r="A312">
        <v>2025</v>
      </c>
      <c r="B312">
        <v>11</v>
      </c>
      <c r="C312" t="s">
        <v>86</v>
      </c>
      <c r="D312" t="s">
        <v>399</v>
      </c>
      <c r="E312" s="6">
        <v>1.6</v>
      </c>
      <c r="F312" s="6">
        <v>48.08</v>
      </c>
      <c r="G312" s="6">
        <v>101.22</v>
      </c>
      <c r="H312" s="6">
        <v>13.29</v>
      </c>
      <c r="I312" s="6">
        <v>81.650000000000006</v>
      </c>
      <c r="J312" s="6">
        <v>21.78</v>
      </c>
      <c r="K312" s="6">
        <v>30.04</v>
      </c>
      <c r="L312" s="6">
        <v>13.79</v>
      </c>
      <c r="M312" s="6">
        <v>1.69</v>
      </c>
      <c r="N312" s="6">
        <v>7.41</v>
      </c>
    </row>
    <row r="313" spans="1:14">
      <c r="A313">
        <v>2025</v>
      </c>
      <c r="B313">
        <v>12</v>
      </c>
      <c r="C313" t="s">
        <v>88</v>
      </c>
      <c r="D313" t="s">
        <v>402</v>
      </c>
      <c r="E313" s="6">
        <v>0.01</v>
      </c>
      <c r="F313" s="6">
        <v>0.46</v>
      </c>
      <c r="G313" s="6">
        <v>101.43</v>
      </c>
      <c r="H313" s="6">
        <v>10.050000000000001</v>
      </c>
      <c r="I313" s="6">
        <v>80.53</v>
      </c>
      <c r="J313" s="6">
        <v>17.82</v>
      </c>
      <c r="K313" s="6">
        <v>26.32</v>
      </c>
      <c r="L313" s="6">
        <v>8.69</v>
      </c>
      <c r="M313" s="6">
        <v>1.47</v>
      </c>
      <c r="N313" s="6">
        <v>6.53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1" width="16" customWidth="1"/>
  </cols>
  <sheetData>
    <row r="1" spans="1:11" ht="28" customHeight="1">
      <c r="A1" s="5" t="s">
        <v>41</v>
      </c>
      <c r="B1" s="5" t="s">
        <v>405</v>
      </c>
      <c r="C1" s="5" t="s">
        <v>45</v>
      </c>
      <c r="D1" s="5" t="s">
        <v>46</v>
      </c>
      <c r="E1" s="5" t="s">
        <v>406</v>
      </c>
      <c r="F1" s="5" t="s">
        <v>407</v>
      </c>
      <c r="G1" s="5" t="s">
        <v>408</v>
      </c>
      <c r="H1" s="5" t="s">
        <v>409</v>
      </c>
      <c r="I1" s="5" t="s">
        <v>410</v>
      </c>
      <c r="J1" s="5" t="s">
        <v>411</v>
      </c>
      <c r="K1" s="5" t="s">
        <v>412</v>
      </c>
    </row>
    <row r="2" spans="1:11">
      <c r="A2">
        <v>2000</v>
      </c>
      <c r="B2" t="s">
        <v>62</v>
      </c>
      <c r="C2">
        <v>0</v>
      </c>
      <c r="D2">
        <v>0</v>
      </c>
      <c r="E2">
        <v>18.45</v>
      </c>
      <c r="F2">
        <v>8.02</v>
      </c>
      <c r="G2">
        <v>28.19</v>
      </c>
      <c r="H2">
        <v>62.06</v>
      </c>
      <c r="I2">
        <v>0.34</v>
      </c>
      <c r="J2">
        <v>101.31</v>
      </c>
      <c r="K2">
        <v>7.66</v>
      </c>
    </row>
    <row r="3" spans="1:11">
      <c r="A3">
        <v>2000</v>
      </c>
      <c r="B3" t="s">
        <v>68</v>
      </c>
      <c r="C3">
        <v>0</v>
      </c>
      <c r="D3">
        <v>0</v>
      </c>
      <c r="E3">
        <v>20.55</v>
      </c>
      <c r="F3">
        <v>10.82</v>
      </c>
      <c r="G3">
        <v>29.9</v>
      </c>
      <c r="H3">
        <v>52.38</v>
      </c>
      <c r="I3">
        <v>0.77</v>
      </c>
      <c r="J3">
        <v>101.2</v>
      </c>
      <c r="K3">
        <v>8.5500000000000007</v>
      </c>
    </row>
    <row r="4" spans="1:11">
      <c r="A4">
        <v>2000</v>
      </c>
      <c r="B4" t="s">
        <v>70</v>
      </c>
      <c r="C4">
        <v>0</v>
      </c>
      <c r="D4">
        <v>0</v>
      </c>
      <c r="E4">
        <v>25.77</v>
      </c>
      <c r="F4">
        <v>14.5</v>
      </c>
      <c r="G4">
        <v>36.07</v>
      </c>
      <c r="H4">
        <v>55.94</v>
      </c>
      <c r="I4">
        <v>2.4900000000000002</v>
      </c>
      <c r="J4">
        <v>100.85</v>
      </c>
      <c r="K4">
        <v>10.73</v>
      </c>
    </row>
    <row r="5" spans="1:11">
      <c r="A5">
        <v>2000</v>
      </c>
      <c r="B5" t="s">
        <v>72</v>
      </c>
      <c r="C5">
        <v>0</v>
      </c>
      <c r="D5">
        <v>0</v>
      </c>
      <c r="E5">
        <v>29.44</v>
      </c>
      <c r="F5">
        <v>22.97</v>
      </c>
      <c r="G5">
        <v>39.67</v>
      </c>
      <c r="H5">
        <v>67.94</v>
      </c>
      <c r="I5">
        <v>5.17</v>
      </c>
      <c r="J5">
        <v>100.44</v>
      </c>
      <c r="K5">
        <v>11.93</v>
      </c>
    </row>
    <row r="6" spans="1:11">
      <c r="A6">
        <v>2000</v>
      </c>
      <c r="B6" t="s">
        <v>74</v>
      </c>
      <c r="C6">
        <v>0</v>
      </c>
      <c r="D6">
        <v>0</v>
      </c>
      <c r="E6">
        <v>28.51</v>
      </c>
      <c r="F6">
        <v>22.91</v>
      </c>
      <c r="G6">
        <v>37.549999999999997</v>
      </c>
      <c r="H6">
        <v>81.62</v>
      </c>
      <c r="I6">
        <v>13.24</v>
      </c>
      <c r="J6">
        <v>100.29</v>
      </c>
      <c r="K6">
        <v>10.77</v>
      </c>
    </row>
    <row r="7" spans="1:11">
      <c r="A7">
        <v>2000</v>
      </c>
      <c r="B7" t="s">
        <v>76</v>
      </c>
      <c r="C7">
        <v>0</v>
      </c>
      <c r="D7">
        <v>0</v>
      </c>
      <c r="E7">
        <v>28.33</v>
      </c>
      <c r="F7">
        <v>25.14</v>
      </c>
      <c r="G7">
        <v>33.159999999999997</v>
      </c>
      <c r="H7">
        <v>88.88</v>
      </c>
      <c r="I7">
        <v>7.83</v>
      </c>
      <c r="J7">
        <v>100.05</v>
      </c>
      <c r="K7">
        <v>12.21</v>
      </c>
    </row>
    <row r="8" spans="1:11">
      <c r="A8">
        <v>2000</v>
      </c>
      <c r="B8" t="s">
        <v>78</v>
      </c>
      <c r="C8">
        <v>565</v>
      </c>
      <c r="D8">
        <v>15</v>
      </c>
      <c r="E8">
        <v>28.22</v>
      </c>
      <c r="F8">
        <v>25.28</v>
      </c>
      <c r="G8">
        <v>32.94</v>
      </c>
      <c r="H8">
        <v>88.81</v>
      </c>
      <c r="I8">
        <v>6.49</v>
      </c>
      <c r="J8">
        <v>99.93</v>
      </c>
      <c r="K8">
        <v>11.88</v>
      </c>
    </row>
    <row r="9" spans="1:11">
      <c r="A9">
        <v>2000</v>
      </c>
      <c r="B9" t="s">
        <v>80</v>
      </c>
      <c r="C9">
        <v>2290</v>
      </c>
      <c r="D9">
        <v>33</v>
      </c>
      <c r="E9">
        <v>28.01</v>
      </c>
      <c r="F9">
        <v>25.34</v>
      </c>
      <c r="G9">
        <v>32.76</v>
      </c>
      <c r="H9">
        <v>90</v>
      </c>
      <c r="I9">
        <v>12.69</v>
      </c>
      <c r="J9">
        <v>100.09</v>
      </c>
      <c r="K9">
        <v>12.92</v>
      </c>
    </row>
    <row r="10" spans="1:11">
      <c r="A10">
        <v>2000</v>
      </c>
      <c r="B10" t="s">
        <v>82</v>
      </c>
      <c r="C10">
        <v>951</v>
      </c>
      <c r="D10">
        <v>18</v>
      </c>
      <c r="E10">
        <v>27.13</v>
      </c>
      <c r="F10">
        <v>22.53</v>
      </c>
      <c r="G10">
        <v>32.049999999999997</v>
      </c>
      <c r="H10">
        <v>89.5</v>
      </c>
      <c r="I10">
        <v>5.08</v>
      </c>
      <c r="J10">
        <v>100.42</v>
      </c>
      <c r="K10">
        <v>11.25</v>
      </c>
    </row>
    <row r="11" spans="1:11">
      <c r="A11">
        <v>2000</v>
      </c>
      <c r="B11" t="s">
        <v>84</v>
      </c>
      <c r="C11">
        <v>835</v>
      </c>
      <c r="D11">
        <v>14</v>
      </c>
      <c r="E11">
        <v>26.76</v>
      </c>
      <c r="F11">
        <v>19.399999999999999</v>
      </c>
      <c r="G11">
        <v>32.619999999999997</v>
      </c>
      <c r="H11">
        <v>83.81</v>
      </c>
      <c r="I11">
        <v>6.41</v>
      </c>
      <c r="J11">
        <v>100.67</v>
      </c>
      <c r="K11">
        <v>9.14</v>
      </c>
    </row>
    <row r="12" spans="1:11">
      <c r="A12">
        <v>2000</v>
      </c>
      <c r="B12" t="s">
        <v>86</v>
      </c>
      <c r="C12">
        <v>724</v>
      </c>
      <c r="D12">
        <v>11</v>
      </c>
      <c r="E12">
        <v>22.51</v>
      </c>
      <c r="F12">
        <v>15.06</v>
      </c>
      <c r="G12">
        <v>29.68</v>
      </c>
      <c r="H12">
        <v>77.44</v>
      </c>
      <c r="I12">
        <v>0.35</v>
      </c>
      <c r="J12">
        <v>101.17</v>
      </c>
      <c r="K12">
        <v>5.43</v>
      </c>
    </row>
    <row r="13" spans="1:11">
      <c r="A13">
        <v>2000</v>
      </c>
      <c r="B13" t="s">
        <v>88</v>
      </c>
      <c r="C13">
        <v>186</v>
      </c>
      <c r="D13">
        <v>2</v>
      </c>
      <c r="E13">
        <v>18.12</v>
      </c>
      <c r="F13">
        <v>10.78</v>
      </c>
      <c r="G13">
        <v>26.35</v>
      </c>
      <c r="H13">
        <v>70.94</v>
      </c>
      <c r="I13">
        <v>0</v>
      </c>
      <c r="J13">
        <v>101.32</v>
      </c>
      <c r="K13">
        <v>7.37</v>
      </c>
    </row>
    <row r="14" spans="1:11">
      <c r="A14">
        <v>2001</v>
      </c>
      <c r="B14" t="s">
        <v>62</v>
      </c>
      <c r="C14">
        <v>0</v>
      </c>
      <c r="D14">
        <v>0</v>
      </c>
      <c r="E14">
        <v>16.59</v>
      </c>
      <c r="F14">
        <v>8.2200000000000006</v>
      </c>
      <c r="G14">
        <v>27.58</v>
      </c>
      <c r="H14">
        <v>59</v>
      </c>
      <c r="I14">
        <v>0</v>
      </c>
      <c r="J14">
        <v>101.26</v>
      </c>
      <c r="K14">
        <v>7.42</v>
      </c>
    </row>
    <row r="15" spans="1:11">
      <c r="A15">
        <v>2001</v>
      </c>
      <c r="B15" t="s">
        <v>68</v>
      </c>
      <c r="C15">
        <v>0</v>
      </c>
      <c r="D15">
        <v>0</v>
      </c>
      <c r="E15">
        <v>22.19</v>
      </c>
      <c r="F15">
        <v>11.16</v>
      </c>
      <c r="G15">
        <v>32.69</v>
      </c>
      <c r="H15">
        <v>48.81</v>
      </c>
      <c r="I15">
        <v>1.08</v>
      </c>
      <c r="J15">
        <v>101.02</v>
      </c>
      <c r="K15">
        <v>9.82</v>
      </c>
    </row>
    <row r="16" spans="1:11">
      <c r="A16">
        <v>2001</v>
      </c>
      <c r="B16" t="s">
        <v>70</v>
      </c>
      <c r="C16">
        <v>0</v>
      </c>
      <c r="D16">
        <v>0</v>
      </c>
      <c r="E16">
        <v>26.9</v>
      </c>
      <c r="F16">
        <v>15.67</v>
      </c>
      <c r="G16">
        <v>38.119999999999997</v>
      </c>
      <c r="H16">
        <v>45.19</v>
      </c>
      <c r="I16">
        <v>0.6</v>
      </c>
      <c r="J16">
        <v>100.87</v>
      </c>
      <c r="K16">
        <v>9.32</v>
      </c>
    </row>
    <row r="17" spans="1:11">
      <c r="A17">
        <v>2001</v>
      </c>
      <c r="B17" t="s">
        <v>72</v>
      </c>
      <c r="C17">
        <v>0</v>
      </c>
      <c r="D17">
        <v>0</v>
      </c>
      <c r="E17">
        <v>30.74</v>
      </c>
      <c r="F17">
        <v>21.52</v>
      </c>
      <c r="G17">
        <v>40.98</v>
      </c>
      <c r="H17">
        <v>53.12</v>
      </c>
      <c r="I17">
        <v>2.15</v>
      </c>
      <c r="J17">
        <v>100.63</v>
      </c>
      <c r="K17">
        <v>12.37</v>
      </c>
    </row>
    <row r="18" spans="1:11">
      <c r="A18">
        <v>2001</v>
      </c>
      <c r="B18" t="s">
        <v>74</v>
      </c>
      <c r="C18">
        <v>5</v>
      </c>
      <c r="D18">
        <v>0</v>
      </c>
      <c r="E18">
        <v>28.67</v>
      </c>
      <c r="F18">
        <v>23.8</v>
      </c>
      <c r="G18">
        <v>35.619999999999997</v>
      </c>
      <c r="H18">
        <v>81.62</v>
      </c>
      <c r="I18">
        <v>11.39</v>
      </c>
      <c r="J18">
        <v>100.24</v>
      </c>
      <c r="K18">
        <v>9.6199999999999992</v>
      </c>
    </row>
    <row r="19" spans="1:11">
      <c r="A19">
        <v>2001</v>
      </c>
      <c r="B19" t="s">
        <v>76</v>
      </c>
      <c r="C19">
        <v>24</v>
      </c>
      <c r="D19">
        <v>1</v>
      </c>
      <c r="E19">
        <v>27.89</v>
      </c>
      <c r="F19">
        <v>24.32</v>
      </c>
      <c r="G19">
        <v>32.71</v>
      </c>
      <c r="H19">
        <v>90.5</v>
      </c>
      <c r="I19">
        <v>16.66</v>
      </c>
      <c r="J19">
        <v>99.93</v>
      </c>
      <c r="K19">
        <v>14.17</v>
      </c>
    </row>
    <row r="20" spans="1:11">
      <c r="A20">
        <v>2001</v>
      </c>
      <c r="B20" t="s">
        <v>78</v>
      </c>
      <c r="C20">
        <v>152</v>
      </c>
      <c r="D20">
        <v>0</v>
      </c>
      <c r="E20">
        <v>27.95</v>
      </c>
      <c r="F20">
        <v>25.16</v>
      </c>
      <c r="G20">
        <v>31.65</v>
      </c>
      <c r="H20">
        <v>90.75</v>
      </c>
      <c r="I20">
        <v>10.55</v>
      </c>
      <c r="J20">
        <v>99.96</v>
      </c>
      <c r="K20">
        <v>10.119999999999999</v>
      </c>
    </row>
    <row r="21" spans="1:11">
      <c r="A21">
        <v>2001</v>
      </c>
      <c r="B21" t="s">
        <v>80</v>
      </c>
      <c r="C21">
        <v>310</v>
      </c>
      <c r="D21">
        <v>6</v>
      </c>
      <c r="E21">
        <v>28.26</v>
      </c>
      <c r="F21">
        <v>25.51</v>
      </c>
      <c r="G21">
        <v>32.56</v>
      </c>
      <c r="H21">
        <v>90.06</v>
      </c>
      <c r="I21">
        <v>6.34</v>
      </c>
      <c r="J21">
        <v>100.08</v>
      </c>
      <c r="K21">
        <v>11.53</v>
      </c>
    </row>
    <row r="22" spans="1:11">
      <c r="A22">
        <v>2001</v>
      </c>
      <c r="B22" t="s">
        <v>82</v>
      </c>
      <c r="C22">
        <v>655</v>
      </c>
      <c r="D22">
        <v>11</v>
      </c>
      <c r="E22">
        <v>27.87</v>
      </c>
      <c r="F22">
        <v>24.04</v>
      </c>
      <c r="G22">
        <v>32.89</v>
      </c>
      <c r="H22">
        <v>86.81</v>
      </c>
      <c r="I22">
        <v>5.94</v>
      </c>
      <c r="J22">
        <v>100.46</v>
      </c>
      <c r="K22">
        <v>8.85</v>
      </c>
    </row>
    <row r="23" spans="1:11">
      <c r="A23">
        <v>2001</v>
      </c>
      <c r="B23" t="s">
        <v>84</v>
      </c>
      <c r="C23">
        <v>611</v>
      </c>
      <c r="D23">
        <v>7</v>
      </c>
      <c r="E23">
        <v>26.63</v>
      </c>
      <c r="F23">
        <v>20.93</v>
      </c>
      <c r="G23">
        <v>31.11</v>
      </c>
      <c r="H23">
        <v>86.25</v>
      </c>
      <c r="I23">
        <v>6.52</v>
      </c>
      <c r="J23">
        <v>100.83</v>
      </c>
      <c r="K23">
        <v>6.65</v>
      </c>
    </row>
    <row r="24" spans="1:11">
      <c r="A24">
        <v>2001</v>
      </c>
      <c r="B24" t="s">
        <v>86</v>
      </c>
      <c r="C24">
        <v>514</v>
      </c>
      <c r="D24">
        <v>14</v>
      </c>
      <c r="E24">
        <v>22.91</v>
      </c>
      <c r="F24">
        <v>13.87</v>
      </c>
      <c r="G24">
        <v>29.98</v>
      </c>
      <c r="H24">
        <v>80.19</v>
      </c>
      <c r="I24">
        <v>1.1000000000000001</v>
      </c>
      <c r="J24">
        <v>101.28</v>
      </c>
      <c r="K24">
        <v>8.07</v>
      </c>
    </row>
    <row r="25" spans="1:11">
      <c r="A25">
        <v>2001</v>
      </c>
      <c r="B25" t="s">
        <v>88</v>
      </c>
      <c r="C25">
        <v>159</v>
      </c>
      <c r="D25">
        <v>5</v>
      </c>
      <c r="E25">
        <v>17.809999999999999</v>
      </c>
      <c r="F25">
        <v>10.48</v>
      </c>
      <c r="G25">
        <v>25.73</v>
      </c>
      <c r="H25">
        <v>74</v>
      </c>
      <c r="I25">
        <v>0.36</v>
      </c>
      <c r="J25">
        <v>101.57</v>
      </c>
      <c r="K25">
        <v>7.2</v>
      </c>
    </row>
    <row r="26" spans="1:11">
      <c r="A26">
        <v>2002</v>
      </c>
      <c r="B26" t="s">
        <v>62</v>
      </c>
      <c r="C26">
        <v>0</v>
      </c>
      <c r="D26">
        <v>0</v>
      </c>
      <c r="E26">
        <v>18.61</v>
      </c>
      <c r="F26">
        <v>9.48</v>
      </c>
      <c r="G26">
        <v>29.04</v>
      </c>
      <c r="H26">
        <v>64.5</v>
      </c>
      <c r="I26">
        <v>0.46</v>
      </c>
      <c r="J26">
        <v>101.44</v>
      </c>
      <c r="K26">
        <v>8.23</v>
      </c>
    </row>
    <row r="27" spans="1:11">
      <c r="A27">
        <v>2002</v>
      </c>
      <c r="B27" t="s">
        <v>68</v>
      </c>
      <c r="C27">
        <v>0</v>
      </c>
      <c r="D27">
        <v>0</v>
      </c>
      <c r="E27">
        <v>21.86</v>
      </c>
      <c r="F27">
        <v>10.01</v>
      </c>
      <c r="G27">
        <v>33.090000000000003</v>
      </c>
      <c r="H27">
        <v>48.62</v>
      </c>
      <c r="I27">
        <v>0.03</v>
      </c>
      <c r="J27">
        <v>101.42</v>
      </c>
      <c r="K27">
        <v>7.31</v>
      </c>
    </row>
    <row r="28" spans="1:11">
      <c r="A28">
        <v>2002</v>
      </c>
      <c r="B28" t="s">
        <v>70</v>
      </c>
      <c r="C28">
        <v>0</v>
      </c>
      <c r="D28">
        <v>0</v>
      </c>
      <c r="E28">
        <v>27.07</v>
      </c>
      <c r="F28">
        <v>15.66</v>
      </c>
      <c r="G28">
        <v>36.869999999999997</v>
      </c>
      <c r="H28">
        <v>49.25</v>
      </c>
      <c r="I28">
        <v>2.29</v>
      </c>
      <c r="J28">
        <v>100.92</v>
      </c>
      <c r="K28">
        <v>10.119999999999999</v>
      </c>
    </row>
    <row r="29" spans="1:11">
      <c r="A29">
        <v>2002</v>
      </c>
      <c r="B29" t="s">
        <v>72</v>
      </c>
      <c r="C29">
        <v>0</v>
      </c>
      <c r="D29">
        <v>0</v>
      </c>
      <c r="E29">
        <v>29.44</v>
      </c>
      <c r="F29">
        <v>21.5</v>
      </c>
      <c r="G29">
        <v>38.76</v>
      </c>
      <c r="H29">
        <v>64.38</v>
      </c>
      <c r="I29">
        <v>3.7</v>
      </c>
      <c r="J29">
        <v>100.66</v>
      </c>
      <c r="K29">
        <v>10.43</v>
      </c>
    </row>
    <row r="30" spans="1:11">
      <c r="A30">
        <v>2002</v>
      </c>
      <c r="B30" t="s">
        <v>74</v>
      </c>
      <c r="C30">
        <v>0</v>
      </c>
      <c r="D30">
        <v>0</v>
      </c>
      <c r="E30">
        <v>29.79</v>
      </c>
      <c r="F30">
        <v>24.01</v>
      </c>
      <c r="G30">
        <v>39.64</v>
      </c>
      <c r="H30">
        <v>75.5</v>
      </c>
      <c r="I30">
        <v>7.35</v>
      </c>
      <c r="J30">
        <v>100.2</v>
      </c>
      <c r="K30">
        <v>10.7</v>
      </c>
    </row>
    <row r="31" spans="1:11">
      <c r="A31">
        <v>2002</v>
      </c>
      <c r="B31" t="s">
        <v>76</v>
      </c>
      <c r="C31">
        <v>0</v>
      </c>
      <c r="D31">
        <v>0</v>
      </c>
      <c r="E31">
        <v>28.49</v>
      </c>
      <c r="F31">
        <v>25.07</v>
      </c>
      <c r="G31">
        <v>34.01</v>
      </c>
      <c r="H31">
        <v>88.31</v>
      </c>
      <c r="I31">
        <v>13.33</v>
      </c>
      <c r="J31">
        <v>100.08</v>
      </c>
      <c r="K31">
        <v>14.38</v>
      </c>
    </row>
    <row r="32" spans="1:11">
      <c r="A32">
        <v>2002</v>
      </c>
      <c r="B32" t="s">
        <v>78</v>
      </c>
      <c r="C32">
        <v>566</v>
      </c>
      <c r="D32">
        <v>12</v>
      </c>
      <c r="E32">
        <v>28.43</v>
      </c>
      <c r="F32">
        <v>25.48</v>
      </c>
      <c r="G32">
        <v>33.03</v>
      </c>
      <c r="H32">
        <v>90.81</v>
      </c>
      <c r="I32">
        <v>13.85</v>
      </c>
      <c r="J32">
        <v>99.95</v>
      </c>
      <c r="K32">
        <v>12.24</v>
      </c>
    </row>
    <row r="33" spans="1:11">
      <c r="A33">
        <v>2002</v>
      </c>
      <c r="B33" t="s">
        <v>80</v>
      </c>
      <c r="C33">
        <v>3281</v>
      </c>
      <c r="D33">
        <v>28</v>
      </c>
      <c r="E33">
        <v>27.63</v>
      </c>
      <c r="F33">
        <v>24.75</v>
      </c>
      <c r="G33">
        <v>31.8</v>
      </c>
      <c r="H33">
        <v>90.81</v>
      </c>
      <c r="I33">
        <v>8.24</v>
      </c>
      <c r="J33">
        <v>100.13</v>
      </c>
      <c r="K33">
        <v>10.73</v>
      </c>
    </row>
    <row r="34" spans="1:11">
      <c r="A34">
        <v>2002</v>
      </c>
      <c r="B34" t="s">
        <v>82</v>
      </c>
      <c r="C34">
        <v>1713</v>
      </c>
      <c r="D34">
        <v>10</v>
      </c>
      <c r="E34">
        <v>27.32</v>
      </c>
      <c r="F34">
        <v>23.21</v>
      </c>
      <c r="G34">
        <v>32.6</v>
      </c>
      <c r="H34">
        <v>88.38</v>
      </c>
      <c r="I34">
        <v>5.85</v>
      </c>
      <c r="J34">
        <v>100.56</v>
      </c>
      <c r="K34">
        <v>9.86</v>
      </c>
    </row>
    <row r="35" spans="1:11">
      <c r="A35">
        <v>2002</v>
      </c>
      <c r="B35" t="s">
        <v>84</v>
      </c>
      <c r="C35">
        <v>541</v>
      </c>
      <c r="D35">
        <v>7</v>
      </c>
      <c r="E35">
        <v>25.79</v>
      </c>
      <c r="F35">
        <v>18.02</v>
      </c>
      <c r="G35">
        <v>32.4</v>
      </c>
      <c r="H35">
        <v>81.81</v>
      </c>
      <c r="I35">
        <v>1.65</v>
      </c>
      <c r="J35">
        <v>100.92</v>
      </c>
      <c r="K35">
        <v>8.41</v>
      </c>
    </row>
    <row r="36" spans="1:11">
      <c r="A36">
        <v>2002</v>
      </c>
      <c r="B36" t="s">
        <v>86</v>
      </c>
      <c r="C36">
        <v>121</v>
      </c>
      <c r="D36">
        <v>1</v>
      </c>
      <c r="E36">
        <v>22.71</v>
      </c>
      <c r="F36">
        <v>15.27</v>
      </c>
      <c r="G36">
        <v>30.16</v>
      </c>
      <c r="H36">
        <v>79.25</v>
      </c>
      <c r="I36">
        <v>4.04</v>
      </c>
      <c r="J36">
        <v>101.16</v>
      </c>
      <c r="K36">
        <v>9.7200000000000006</v>
      </c>
    </row>
    <row r="37" spans="1:11">
      <c r="A37">
        <v>2002</v>
      </c>
      <c r="B37" t="s">
        <v>88</v>
      </c>
      <c r="C37">
        <v>10</v>
      </c>
      <c r="D37">
        <v>0</v>
      </c>
      <c r="E37">
        <v>18.97</v>
      </c>
      <c r="F37">
        <v>9.7799999999999994</v>
      </c>
      <c r="G37">
        <v>27.04</v>
      </c>
      <c r="H37">
        <v>73.38</v>
      </c>
      <c r="I37">
        <v>0.14000000000000001</v>
      </c>
      <c r="J37">
        <v>101.42</v>
      </c>
      <c r="K37">
        <v>6.84</v>
      </c>
    </row>
    <row r="38" spans="1:11">
      <c r="A38">
        <v>2003</v>
      </c>
      <c r="B38" t="s">
        <v>62</v>
      </c>
      <c r="C38">
        <v>0</v>
      </c>
      <c r="D38">
        <v>0</v>
      </c>
      <c r="E38">
        <v>16.510000000000002</v>
      </c>
      <c r="F38">
        <v>7.81</v>
      </c>
      <c r="G38">
        <v>27.15</v>
      </c>
      <c r="H38">
        <v>64.56</v>
      </c>
      <c r="I38">
        <v>0.62</v>
      </c>
      <c r="J38">
        <v>101.57</v>
      </c>
      <c r="K38">
        <v>8.0399999999999991</v>
      </c>
    </row>
    <row r="39" spans="1:11">
      <c r="A39">
        <v>2003</v>
      </c>
      <c r="B39" t="s">
        <v>68</v>
      </c>
      <c r="C39">
        <v>0</v>
      </c>
      <c r="D39">
        <v>0</v>
      </c>
      <c r="E39">
        <v>21.78</v>
      </c>
      <c r="F39">
        <v>12.43</v>
      </c>
      <c r="G39">
        <v>32.340000000000003</v>
      </c>
      <c r="H39">
        <v>58.69</v>
      </c>
      <c r="I39">
        <v>0.93</v>
      </c>
      <c r="J39">
        <v>101.32</v>
      </c>
      <c r="K39">
        <v>8.1999999999999993</v>
      </c>
    </row>
    <row r="40" spans="1:11">
      <c r="A40">
        <v>2003</v>
      </c>
      <c r="B40" t="s">
        <v>70</v>
      </c>
      <c r="C40">
        <v>0</v>
      </c>
      <c r="D40">
        <v>0</v>
      </c>
      <c r="E40">
        <v>25.32</v>
      </c>
      <c r="F40">
        <v>13.48</v>
      </c>
      <c r="G40">
        <v>35.9</v>
      </c>
      <c r="H40">
        <v>57.69</v>
      </c>
      <c r="I40">
        <v>3.64</v>
      </c>
      <c r="J40">
        <v>101.03</v>
      </c>
      <c r="K40">
        <v>9.2100000000000009</v>
      </c>
    </row>
    <row r="41" spans="1:11">
      <c r="A41">
        <v>2003</v>
      </c>
      <c r="B41" t="s">
        <v>72</v>
      </c>
      <c r="C41">
        <v>2</v>
      </c>
      <c r="D41">
        <v>0</v>
      </c>
      <c r="E41">
        <v>29.73</v>
      </c>
      <c r="F41">
        <v>21.54</v>
      </c>
      <c r="G41">
        <v>37.96</v>
      </c>
      <c r="H41">
        <v>66.88</v>
      </c>
      <c r="I41">
        <v>3.59</v>
      </c>
      <c r="J41">
        <v>100.68</v>
      </c>
      <c r="K41">
        <v>11.54</v>
      </c>
    </row>
    <row r="42" spans="1:11">
      <c r="A42">
        <v>2003</v>
      </c>
      <c r="B42" t="s">
        <v>74</v>
      </c>
      <c r="C42">
        <v>1</v>
      </c>
      <c r="D42">
        <v>0</v>
      </c>
      <c r="E42">
        <v>30.76</v>
      </c>
      <c r="F42">
        <v>23.94</v>
      </c>
      <c r="G42">
        <v>40.1</v>
      </c>
      <c r="H42">
        <v>67.12</v>
      </c>
      <c r="I42">
        <v>3.98</v>
      </c>
      <c r="J42">
        <v>100.32</v>
      </c>
      <c r="K42">
        <v>11.26</v>
      </c>
    </row>
    <row r="43" spans="1:11">
      <c r="A43">
        <v>2003</v>
      </c>
      <c r="B43" t="s">
        <v>76</v>
      </c>
      <c r="C43">
        <v>0</v>
      </c>
      <c r="D43">
        <v>0</v>
      </c>
      <c r="E43">
        <v>28.71</v>
      </c>
      <c r="F43">
        <v>25.44</v>
      </c>
      <c r="G43">
        <v>39.07</v>
      </c>
      <c r="H43">
        <v>86.19</v>
      </c>
      <c r="I43">
        <v>16.89</v>
      </c>
      <c r="J43">
        <v>99.9</v>
      </c>
      <c r="K43">
        <v>15.29</v>
      </c>
    </row>
    <row r="44" spans="1:11">
      <c r="A44">
        <v>2003</v>
      </c>
      <c r="B44" t="s">
        <v>78</v>
      </c>
      <c r="C44">
        <v>4</v>
      </c>
      <c r="D44">
        <v>0</v>
      </c>
      <c r="E44">
        <v>28.38</v>
      </c>
      <c r="F44">
        <v>25.88</v>
      </c>
      <c r="G44">
        <v>33.04</v>
      </c>
      <c r="H44">
        <v>89.62</v>
      </c>
      <c r="I44">
        <v>6.01</v>
      </c>
      <c r="J44">
        <v>100.15</v>
      </c>
      <c r="K44">
        <v>10.84</v>
      </c>
    </row>
    <row r="45" spans="1:11">
      <c r="A45">
        <v>2003</v>
      </c>
      <c r="B45" t="s">
        <v>80</v>
      </c>
      <c r="C45">
        <v>4</v>
      </c>
      <c r="D45">
        <v>0</v>
      </c>
      <c r="E45">
        <v>28.51</v>
      </c>
      <c r="F45">
        <v>25.48</v>
      </c>
      <c r="G45">
        <v>33.31</v>
      </c>
      <c r="H45">
        <v>88.44</v>
      </c>
      <c r="I45">
        <v>5.84</v>
      </c>
      <c r="J45">
        <v>100.15</v>
      </c>
      <c r="K45">
        <v>9.9499999999999993</v>
      </c>
    </row>
    <row r="46" spans="1:11">
      <c r="A46">
        <v>2003</v>
      </c>
      <c r="B46" t="s">
        <v>82</v>
      </c>
      <c r="C46">
        <v>3</v>
      </c>
      <c r="D46">
        <v>0</v>
      </c>
      <c r="E46">
        <v>27.8</v>
      </c>
      <c r="F46">
        <v>25.08</v>
      </c>
      <c r="G46">
        <v>32.04</v>
      </c>
      <c r="H46">
        <v>88.75</v>
      </c>
      <c r="I46">
        <v>6.16</v>
      </c>
      <c r="J46">
        <v>100.42</v>
      </c>
      <c r="K46">
        <v>11.95</v>
      </c>
    </row>
    <row r="47" spans="1:11">
      <c r="A47">
        <v>2003</v>
      </c>
      <c r="B47" t="s">
        <v>84</v>
      </c>
      <c r="C47">
        <v>0</v>
      </c>
      <c r="D47">
        <v>0</v>
      </c>
      <c r="E47">
        <v>26.68</v>
      </c>
      <c r="F47">
        <v>21.28</v>
      </c>
      <c r="G47">
        <v>32.26</v>
      </c>
      <c r="H47">
        <v>84.94</v>
      </c>
      <c r="I47">
        <v>4.87</v>
      </c>
      <c r="J47">
        <v>100.93</v>
      </c>
      <c r="K47">
        <v>8.9499999999999993</v>
      </c>
    </row>
    <row r="48" spans="1:11">
      <c r="A48">
        <v>2003</v>
      </c>
      <c r="B48" t="s">
        <v>86</v>
      </c>
      <c r="C48">
        <v>372</v>
      </c>
      <c r="D48">
        <v>8</v>
      </c>
      <c r="E48">
        <v>21.83</v>
      </c>
      <c r="F48">
        <v>13.59</v>
      </c>
      <c r="G48">
        <v>29.37</v>
      </c>
      <c r="H48">
        <v>78.12</v>
      </c>
      <c r="I48">
        <v>0.08</v>
      </c>
      <c r="J48">
        <v>101.3</v>
      </c>
      <c r="K48">
        <v>6.07</v>
      </c>
    </row>
    <row r="49" spans="1:11">
      <c r="A49">
        <v>2003</v>
      </c>
      <c r="B49" t="s">
        <v>88</v>
      </c>
      <c r="C49">
        <v>100</v>
      </c>
      <c r="D49">
        <v>2</v>
      </c>
      <c r="E49">
        <v>18.91</v>
      </c>
      <c r="F49">
        <v>10.3</v>
      </c>
      <c r="G49">
        <v>27.47</v>
      </c>
      <c r="H49">
        <v>76.69</v>
      </c>
      <c r="I49">
        <v>1.28</v>
      </c>
      <c r="J49">
        <v>101.51</v>
      </c>
      <c r="K49">
        <v>8.35</v>
      </c>
    </row>
    <row r="50" spans="1:11">
      <c r="A50">
        <v>2004</v>
      </c>
      <c r="B50" t="s">
        <v>62</v>
      </c>
      <c r="C50">
        <v>0</v>
      </c>
      <c r="D50">
        <v>0</v>
      </c>
      <c r="E50">
        <v>17.940000000000001</v>
      </c>
      <c r="F50">
        <v>8.11</v>
      </c>
      <c r="G50">
        <v>27.43</v>
      </c>
      <c r="H50">
        <v>67.88</v>
      </c>
      <c r="I50">
        <v>7.0000000000000007E-2</v>
      </c>
      <c r="J50">
        <v>101.43</v>
      </c>
      <c r="K50">
        <v>7.94</v>
      </c>
    </row>
    <row r="51" spans="1:11">
      <c r="A51">
        <v>2004</v>
      </c>
      <c r="B51" t="s">
        <v>68</v>
      </c>
      <c r="C51">
        <v>0</v>
      </c>
      <c r="D51">
        <v>0</v>
      </c>
      <c r="E51">
        <v>21.37</v>
      </c>
      <c r="F51">
        <v>9.9700000000000006</v>
      </c>
      <c r="G51">
        <v>34.450000000000003</v>
      </c>
      <c r="H51">
        <v>54.25</v>
      </c>
      <c r="I51">
        <v>0.09</v>
      </c>
      <c r="J51">
        <v>101.25</v>
      </c>
      <c r="K51">
        <v>8.09</v>
      </c>
    </row>
    <row r="52" spans="1:11">
      <c r="A52">
        <v>2004</v>
      </c>
      <c r="B52" t="s">
        <v>70</v>
      </c>
      <c r="C52">
        <v>1</v>
      </c>
      <c r="D52">
        <v>0</v>
      </c>
      <c r="E52">
        <v>27.54</v>
      </c>
      <c r="F52">
        <v>15.57</v>
      </c>
      <c r="G52">
        <v>39.94</v>
      </c>
      <c r="H52">
        <v>53.06</v>
      </c>
      <c r="I52">
        <v>0.47</v>
      </c>
      <c r="J52">
        <v>100.86</v>
      </c>
      <c r="K52">
        <v>11.33</v>
      </c>
    </row>
    <row r="53" spans="1:11">
      <c r="A53">
        <v>2004</v>
      </c>
      <c r="B53" t="s">
        <v>72</v>
      </c>
      <c r="C53">
        <v>0</v>
      </c>
      <c r="D53">
        <v>0</v>
      </c>
      <c r="E53">
        <v>29.37</v>
      </c>
      <c r="F53">
        <v>22.19</v>
      </c>
      <c r="G53">
        <v>39.78</v>
      </c>
      <c r="H53">
        <v>67.88</v>
      </c>
      <c r="I53">
        <v>5.93</v>
      </c>
      <c r="J53">
        <v>100.61</v>
      </c>
      <c r="K53">
        <v>14.71</v>
      </c>
    </row>
    <row r="54" spans="1:11">
      <c r="A54">
        <v>2004</v>
      </c>
      <c r="B54" t="s">
        <v>74</v>
      </c>
      <c r="C54">
        <v>1</v>
      </c>
      <c r="D54">
        <v>0</v>
      </c>
      <c r="E54">
        <v>30.74</v>
      </c>
      <c r="F54">
        <v>22.73</v>
      </c>
      <c r="G54">
        <v>40.32</v>
      </c>
      <c r="H54">
        <v>68.12</v>
      </c>
      <c r="I54">
        <v>3.83</v>
      </c>
      <c r="J54">
        <v>100.24</v>
      </c>
      <c r="K54">
        <v>10.66</v>
      </c>
    </row>
    <row r="55" spans="1:11">
      <c r="A55">
        <v>2004</v>
      </c>
      <c r="B55" t="s">
        <v>76</v>
      </c>
      <c r="C55">
        <v>143</v>
      </c>
      <c r="D55">
        <v>0</v>
      </c>
      <c r="E55">
        <v>29.23</v>
      </c>
      <c r="F55">
        <v>25.25</v>
      </c>
      <c r="G55">
        <v>35.85</v>
      </c>
      <c r="H55">
        <v>81.81</v>
      </c>
      <c r="I55">
        <v>10.52</v>
      </c>
      <c r="J55">
        <v>100.14</v>
      </c>
      <c r="K55">
        <v>13.8</v>
      </c>
    </row>
    <row r="56" spans="1:11">
      <c r="A56">
        <v>2004</v>
      </c>
      <c r="B56" t="s">
        <v>78</v>
      </c>
      <c r="C56">
        <v>1209</v>
      </c>
      <c r="D56">
        <v>4</v>
      </c>
      <c r="E56">
        <v>27.98</v>
      </c>
      <c r="F56">
        <v>24.65</v>
      </c>
      <c r="G56">
        <v>33.33</v>
      </c>
      <c r="H56">
        <v>89.5</v>
      </c>
      <c r="I56">
        <v>11.09</v>
      </c>
      <c r="J56">
        <v>100.13</v>
      </c>
      <c r="K56">
        <v>11.07</v>
      </c>
    </row>
    <row r="57" spans="1:11">
      <c r="A57">
        <v>2004</v>
      </c>
      <c r="B57" t="s">
        <v>80</v>
      </c>
      <c r="C57">
        <v>1261</v>
      </c>
      <c r="D57">
        <v>1</v>
      </c>
      <c r="E57">
        <v>28.05</v>
      </c>
      <c r="F57">
        <v>25.42</v>
      </c>
      <c r="G57">
        <v>32.5</v>
      </c>
      <c r="H57">
        <v>90.12</v>
      </c>
      <c r="I57">
        <v>7.45</v>
      </c>
      <c r="J57">
        <v>100.03</v>
      </c>
      <c r="K57">
        <v>9.68</v>
      </c>
    </row>
    <row r="58" spans="1:11">
      <c r="A58">
        <v>2004</v>
      </c>
      <c r="B58" t="s">
        <v>82</v>
      </c>
      <c r="C58">
        <v>511</v>
      </c>
      <c r="D58">
        <v>4</v>
      </c>
      <c r="E58">
        <v>27.19</v>
      </c>
      <c r="F58">
        <v>23.29</v>
      </c>
      <c r="G58">
        <v>31.6</v>
      </c>
      <c r="H58">
        <v>90.38</v>
      </c>
      <c r="I58">
        <v>22.23</v>
      </c>
      <c r="J58">
        <v>100.56</v>
      </c>
      <c r="K58">
        <v>12.89</v>
      </c>
    </row>
    <row r="59" spans="1:11">
      <c r="A59">
        <v>2004</v>
      </c>
      <c r="B59" t="s">
        <v>84</v>
      </c>
      <c r="C59">
        <v>362</v>
      </c>
      <c r="D59">
        <v>3</v>
      </c>
      <c r="E59">
        <v>25.1</v>
      </c>
      <c r="F59">
        <v>17.59</v>
      </c>
      <c r="G59">
        <v>31.23</v>
      </c>
      <c r="H59">
        <v>86.31</v>
      </c>
      <c r="I59">
        <v>5.9</v>
      </c>
      <c r="J59">
        <v>101.13</v>
      </c>
      <c r="K59">
        <v>14.27</v>
      </c>
    </row>
    <row r="60" spans="1:11">
      <c r="A60">
        <v>2004</v>
      </c>
      <c r="B60" t="s">
        <v>86</v>
      </c>
      <c r="C60">
        <v>395</v>
      </c>
      <c r="D60">
        <v>1</v>
      </c>
      <c r="E60">
        <v>21.55</v>
      </c>
      <c r="F60">
        <v>15.13</v>
      </c>
      <c r="G60">
        <v>28.24</v>
      </c>
      <c r="H60">
        <v>79.06</v>
      </c>
      <c r="I60">
        <v>0.01</v>
      </c>
      <c r="J60">
        <v>101.36</v>
      </c>
      <c r="K60">
        <v>6.67</v>
      </c>
    </row>
    <row r="61" spans="1:11">
      <c r="A61">
        <v>2004</v>
      </c>
      <c r="B61" t="s">
        <v>88</v>
      </c>
      <c r="C61">
        <v>51</v>
      </c>
      <c r="D61">
        <v>0</v>
      </c>
      <c r="E61">
        <v>19.579999999999998</v>
      </c>
      <c r="F61">
        <v>8.3800000000000008</v>
      </c>
      <c r="G61">
        <v>26.86</v>
      </c>
      <c r="H61">
        <v>74.44</v>
      </c>
      <c r="I61">
        <v>0.01</v>
      </c>
      <c r="J61">
        <v>101.44</v>
      </c>
      <c r="K61">
        <v>7.17</v>
      </c>
    </row>
    <row r="62" spans="1:11">
      <c r="A62">
        <v>2005</v>
      </c>
      <c r="B62" t="s">
        <v>62</v>
      </c>
      <c r="C62">
        <v>1</v>
      </c>
      <c r="D62">
        <v>0</v>
      </c>
      <c r="E62">
        <v>17.87</v>
      </c>
      <c r="F62">
        <v>9.6199999999999992</v>
      </c>
      <c r="G62">
        <v>29.01</v>
      </c>
      <c r="H62">
        <v>69.75</v>
      </c>
      <c r="I62">
        <v>0.2</v>
      </c>
      <c r="J62">
        <v>101.41</v>
      </c>
      <c r="K62">
        <v>8.52</v>
      </c>
    </row>
    <row r="63" spans="1:11">
      <c r="A63">
        <v>2005</v>
      </c>
      <c r="B63" t="s">
        <v>68</v>
      </c>
      <c r="C63">
        <v>0</v>
      </c>
      <c r="D63">
        <v>0</v>
      </c>
      <c r="E63">
        <v>23.08</v>
      </c>
      <c r="F63">
        <v>9.2899999999999991</v>
      </c>
      <c r="G63">
        <v>34.53</v>
      </c>
      <c r="H63">
        <v>56.38</v>
      </c>
      <c r="I63">
        <v>0.16</v>
      </c>
      <c r="J63">
        <v>101.23</v>
      </c>
      <c r="K63">
        <v>9.7100000000000009</v>
      </c>
    </row>
    <row r="64" spans="1:11">
      <c r="A64">
        <v>2005</v>
      </c>
      <c r="B64" t="s">
        <v>70</v>
      </c>
      <c r="C64">
        <v>0</v>
      </c>
      <c r="D64">
        <v>0</v>
      </c>
      <c r="E64">
        <v>27.69</v>
      </c>
      <c r="F64">
        <v>17.8</v>
      </c>
      <c r="G64">
        <v>38.229999999999997</v>
      </c>
      <c r="H64">
        <v>59.19</v>
      </c>
      <c r="I64">
        <v>4.28</v>
      </c>
      <c r="J64">
        <v>100.97</v>
      </c>
      <c r="K64">
        <v>12.4</v>
      </c>
    </row>
    <row r="65" spans="1:11">
      <c r="A65">
        <v>2005</v>
      </c>
      <c r="B65" t="s">
        <v>72</v>
      </c>
      <c r="C65">
        <v>0</v>
      </c>
      <c r="D65">
        <v>0</v>
      </c>
      <c r="E65">
        <v>29.15</v>
      </c>
      <c r="F65">
        <v>19.7</v>
      </c>
      <c r="G65">
        <v>38.119999999999997</v>
      </c>
      <c r="H65">
        <v>64.38</v>
      </c>
      <c r="I65">
        <v>2.93</v>
      </c>
      <c r="J65">
        <v>100.83</v>
      </c>
      <c r="K65">
        <v>9.58</v>
      </c>
    </row>
    <row r="66" spans="1:11">
      <c r="A66">
        <v>2005</v>
      </c>
      <c r="B66" t="s">
        <v>74</v>
      </c>
      <c r="C66">
        <v>0</v>
      </c>
      <c r="D66">
        <v>0</v>
      </c>
      <c r="E66">
        <v>29.69</v>
      </c>
      <c r="F66">
        <v>22.9</v>
      </c>
      <c r="G66">
        <v>39.119999999999997</v>
      </c>
      <c r="H66">
        <v>73.19</v>
      </c>
      <c r="I66">
        <v>6.06</v>
      </c>
      <c r="J66">
        <v>100.39</v>
      </c>
      <c r="K66">
        <v>9.7200000000000006</v>
      </c>
    </row>
    <row r="67" spans="1:11">
      <c r="A67">
        <v>2005</v>
      </c>
      <c r="B67" t="s">
        <v>76</v>
      </c>
      <c r="C67">
        <v>2</v>
      </c>
      <c r="D67">
        <v>0</v>
      </c>
      <c r="E67">
        <v>30.08</v>
      </c>
      <c r="F67">
        <v>25.23</v>
      </c>
      <c r="G67">
        <v>37.299999999999997</v>
      </c>
      <c r="H67">
        <v>78.88</v>
      </c>
      <c r="I67">
        <v>4.71</v>
      </c>
      <c r="J67">
        <v>99.9</v>
      </c>
      <c r="K67">
        <v>12.03</v>
      </c>
    </row>
    <row r="68" spans="1:11">
      <c r="A68">
        <v>2005</v>
      </c>
      <c r="B68" t="s">
        <v>78</v>
      </c>
      <c r="C68">
        <v>3</v>
      </c>
      <c r="D68">
        <v>0</v>
      </c>
      <c r="E68">
        <v>28.36</v>
      </c>
      <c r="F68">
        <v>24.46</v>
      </c>
      <c r="G68">
        <v>32.83</v>
      </c>
      <c r="H68">
        <v>88.38</v>
      </c>
      <c r="I68">
        <v>12.15</v>
      </c>
      <c r="J68">
        <v>100.09</v>
      </c>
      <c r="K68">
        <v>10.26</v>
      </c>
    </row>
    <row r="69" spans="1:11">
      <c r="A69">
        <v>2005</v>
      </c>
      <c r="B69" t="s">
        <v>80</v>
      </c>
      <c r="C69">
        <v>174</v>
      </c>
      <c r="D69">
        <v>0</v>
      </c>
      <c r="E69">
        <v>28.48</v>
      </c>
      <c r="F69">
        <v>25.51</v>
      </c>
      <c r="G69">
        <v>33.47</v>
      </c>
      <c r="H69">
        <v>88.88</v>
      </c>
      <c r="I69">
        <v>11.11</v>
      </c>
      <c r="J69">
        <v>100.01</v>
      </c>
      <c r="K69">
        <v>9.89</v>
      </c>
    </row>
    <row r="70" spans="1:11">
      <c r="A70">
        <v>2005</v>
      </c>
      <c r="B70" t="s">
        <v>82</v>
      </c>
      <c r="C70">
        <v>337</v>
      </c>
      <c r="D70">
        <v>1</v>
      </c>
      <c r="E70">
        <v>27.87</v>
      </c>
      <c r="F70">
        <v>24.54</v>
      </c>
      <c r="G70">
        <v>33.130000000000003</v>
      </c>
      <c r="H70">
        <v>88.38</v>
      </c>
      <c r="I70">
        <v>10.67</v>
      </c>
      <c r="J70">
        <v>100.46</v>
      </c>
      <c r="K70">
        <v>11.44</v>
      </c>
    </row>
    <row r="71" spans="1:11">
      <c r="A71">
        <v>2005</v>
      </c>
      <c r="B71" t="s">
        <v>84</v>
      </c>
      <c r="C71">
        <v>325</v>
      </c>
      <c r="D71">
        <v>1</v>
      </c>
      <c r="E71">
        <v>26.08</v>
      </c>
      <c r="F71">
        <v>19.23</v>
      </c>
      <c r="G71">
        <v>31.73</v>
      </c>
      <c r="H71">
        <v>86.12</v>
      </c>
      <c r="I71">
        <v>9.4600000000000009</v>
      </c>
      <c r="J71">
        <v>100.97</v>
      </c>
      <c r="K71">
        <v>10.77</v>
      </c>
    </row>
    <row r="72" spans="1:11">
      <c r="A72">
        <v>2005</v>
      </c>
      <c r="B72" t="s">
        <v>86</v>
      </c>
      <c r="C72">
        <v>187</v>
      </c>
      <c r="D72">
        <v>2</v>
      </c>
      <c r="E72">
        <v>21.38</v>
      </c>
      <c r="F72">
        <v>12.8</v>
      </c>
      <c r="G72">
        <v>28.77</v>
      </c>
      <c r="H72">
        <v>82.5</v>
      </c>
      <c r="I72">
        <v>0.13</v>
      </c>
      <c r="J72">
        <v>101.2</v>
      </c>
      <c r="K72">
        <v>7.47</v>
      </c>
    </row>
    <row r="73" spans="1:11">
      <c r="A73">
        <v>2005</v>
      </c>
      <c r="B73" t="s">
        <v>88</v>
      </c>
      <c r="C73">
        <v>19</v>
      </c>
      <c r="D73">
        <v>0</v>
      </c>
      <c r="E73">
        <v>18.12</v>
      </c>
      <c r="F73">
        <v>10.67</v>
      </c>
      <c r="G73">
        <v>26.22</v>
      </c>
      <c r="H73">
        <v>81.62</v>
      </c>
      <c r="I73">
        <v>0.03</v>
      </c>
      <c r="J73">
        <v>101.31</v>
      </c>
      <c r="K73">
        <v>8</v>
      </c>
    </row>
    <row r="74" spans="1:11">
      <c r="A74">
        <v>2006</v>
      </c>
      <c r="B74" t="s">
        <v>62</v>
      </c>
      <c r="C74">
        <v>0</v>
      </c>
      <c r="D74">
        <v>0</v>
      </c>
      <c r="E74">
        <v>17.260000000000002</v>
      </c>
      <c r="F74">
        <v>8.74</v>
      </c>
      <c r="G74">
        <v>27.46</v>
      </c>
      <c r="H74">
        <v>70.44</v>
      </c>
      <c r="I74">
        <v>0</v>
      </c>
      <c r="J74">
        <v>101.38</v>
      </c>
      <c r="K74">
        <v>8.82</v>
      </c>
    </row>
    <row r="75" spans="1:11">
      <c r="A75">
        <v>2006</v>
      </c>
      <c r="B75" t="s">
        <v>68</v>
      </c>
      <c r="C75">
        <v>0</v>
      </c>
      <c r="D75">
        <v>0</v>
      </c>
      <c r="E75">
        <v>23.66</v>
      </c>
      <c r="F75">
        <v>13.93</v>
      </c>
      <c r="G75">
        <v>36.299999999999997</v>
      </c>
      <c r="H75">
        <v>61.31</v>
      </c>
      <c r="I75">
        <v>0.09</v>
      </c>
      <c r="J75">
        <v>101.14</v>
      </c>
      <c r="K75">
        <v>9.5</v>
      </c>
    </row>
    <row r="76" spans="1:11">
      <c r="A76">
        <v>2006</v>
      </c>
      <c r="B76" t="s">
        <v>70</v>
      </c>
      <c r="C76">
        <v>0</v>
      </c>
      <c r="D76">
        <v>0</v>
      </c>
      <c r="E76">
        <v>27.67</v>
      </c>
      <c r="F76">
        <v>17.12</v>
      </c>
      <c r="G76">
        <v>39.43</v>
      </c>
      <c r="H76">
        <v>46.06</v>
      </c>
      <c r="I76">
        <v>0.05</v>
      </c>
      <c r="J76">
        <v>100.89</v>
      </c>
      <c r="K76">
        <v>8.15</v>
      </c>
    </row>
    <row r="77" spans="1:11">
      <c r="A77">
        <v>2006</v>
      </c>
      <c r="B77" t="s">
        <v>72</v>
      </c>
      <c r="C77">
        <v>0</v>
      </c>
      <c r="D77">
        <v>0</v>
      </c>
      <c r="E77">
        <v>30.1</v>
      </c>
      <c r="F77">
        <v>21.85</v>
      </c>
      <c r="G77">
        <v>39.03</v>
      </c>
      <c r="H77">
        <v>61.88</v>
      </c>
      <c r="I77">
        <v>4.16</v>
      </c>
      <c r="J77">
        <v>100.59</v>
      </c>
      <c r="K77">
        <v>10.23</v>
      </c>
    </row>
    <row r="78" spans="1:11">
      <c r="A78">
        <v>2006</v>
      </c>
      <c r="B78" t="s">
        <v>74</v>
      </c>
      <c r="C78">
        <v>0</v>
      </c>
      <c r="D78">
        <v>0</v>
      </c>
      <c r="E78">
        <v>29.97</v>
      </c>
      <c r="F78">
        <v>23.08</v>
      </c>
      <c r="G78">
        <v>39.56</v>
      </c>
      <c r="H78">
        <v>72</v>
      </c>
      <c r="I78">
        <v>9.98</v>
      </c>
      <c r="J78">
        <v>100.38</v>
      </c>
      <c r="K78">
        <v>10.59</v>
      </c>
    </row>
    <row r="79" spans="1:11">
      <c r="A79">
        <v>2006</v>
      </c>
      <c r="B79" t="s">
        <v>76</v>
      </c>
      <c r="C79">
        <v>100</v>
      </c>
      <c r="D79">
        <v>1</v>
      </c>
      <c r="E79">
        <v>28.42</v>
      </c>
      <c r="F79">
        <v>25.6</v>
      </c>
      <c r="G79">
        <v>32.92</v>
      </c>
      <c r="H79">
        <v>89.06</v>
      </c>
      <c r="I79">
        <v>9.83</v>
      </c>
      <c r="J79">
        <v>100.15</v>
      </c>
      <c r="K79">
        <v>12.65</v>
      </c>
    </row>
    <row r="80" spans="1:11">
      <c r="A80">
        <v>2006</v>
      </c>
      <c r="B80" t="s">
        <v>78</v>
      </c>
      <c r="C80">
        <v>972</v>
      </c>
      <c r="D80">
        <v>1</v>
      </c>
      <c r="E80">
        <v>28.36</v>
      </c>
      <c r="F80">
        <v>25.22</v>
      </c>
      <c r="G80">
        <v>33.1</v>
      </c>
      <c r="H80">
        <v>89.5</v>
      </c>
      <c r="I80">
        <v>8.6199999999999992</v>
      </c>
      <c r="J80">
        <v>99.92</v>
      </c>
      <c r="K80">
        <v>11.02</v>
      </c>
    </row>
    <row r="81" spans="1:11">
      <c r="A81">
        <v>2006</v>
      </c>
      <c r="B81" t="s">
        <v>80</v>
      </c>
      <c r="C81">
        <v>680</v>
      </c>
      <c r="D81">
        <v>1</v>
      </c>
      <c r="E81">
        <v>27.81</v>
      </c>
      <c r="F81">
        <v>24.16</v>
      </c>
      <c r="G81">
        <v>32.44</v>
      </c>
      <c r="H81">
        <v>89</v>
      </c>
      <c r="I81">
        <v>7.26</v>
      </c>
      <c r="J81">
        <v>100.13</v>
      </c>
      <c r="K81">
        <v>11.11</v>
      </c>
    </row>
    <row r="82" spans="1:11">
      <c r="A82">
        <v>2006</v>
      </c>
      <c r="B82" t="s">
        <v>82</v>
      </c>
      <c r="C82">
        <v>211</v>
      </c>
      <c r="D82">
        <v>6</v>
      </c>
      <c r="E82">
        <v>27.62</v>
      </c>
      <c r="F82">
        <v>23.91</v>
      </c>
      <c r="G82">
        <v>32.700000000000003</v>
      </c>
      <c r="H82">
        <v>88.25</v>
      </c>
      <c r="I82">
        <v>13.57</v>
      </c>
      <c r="J82">
        <v>100.51</v>
      </c>
      <c r="K82">
        <v>12.98</v>
      </c>
    </row>
    <row r="83" spans="1:11">
      <c r="A83">
        <v>2006</v>
      </c>
      <c r="B83" t="s">
        <v>84</v>
      </c>
      <c r="C83">
        <v>145</v>
      </c>
      <c r="D83">
        <v>1</v>
      </c>
      <c r="E83">
        <v>26.33</v>
      </c>
      <c r="F83">
        <v>18.05</v>
      </c>
      <c r="G83">
        <v>32.369999999999997</v>
      </c>
      <c r="H83">
        <v>82.56</v>
      </c>
      <c r="I83">
        <v>2</v>
      </c>
      <c r="J83">
        <v>101.02</v>
      </c>
      <c r="K83">
        <v>6.98</v>
      </c>
    </row>
    <row r="84" spans="1:11">
      <c r="A84">
        <v>2006</v>
      </c>
      <c r="B84" t="s">
        <v>86</v>
      </c>
      <c r="C84">
        <v>92</v>
      </c>
      <c r="D84">
        <v>1</v>
      </c>
      <c r="E84">
        <v>22.39</v>
      </c>
      <c r="F84">
        <v>12.16</v>
      </c>
      <c r="G84">
        <v>30.05</v>
      </c>
      <c r="H84">
        <v>76.94</v>
      </c>
      <c r="I84">
        <v>0.1</v>
      </c>
      <c r="J84">
        <v>101.25</v>
      </c>
      <c r="K84">
        <v>6.41</v>
      </c>
    </row>
    <row r="85" spans="1:11">
      <c r="A85">
        <v>2006</v>
      </c>
      <c r="B85" t="s">
        <v>88</v>
      </c>
      <c r="C85">
        <v>0</v>
      </c>
      <c r="D85">
        <v>0</v>
      </c>
      <c r="E85">
        <v>19.260000000000002</v>
      </c>
      <c r="F85">
        <v>10.76</v>
      </c>
      <c r="G85">
        <v>27.73</v>
      </c>
      <c r="H85">
        <v>71</v>
      </c>
      <c r="I85">
        <v>0.01</v>
      </c>
      <c r="J85">
        <v>101.46</v>
      </c>
      <c r="K85">
        <v>8.3800000000000008</v>
      </c>
    </row>
    <row r="86" spans="1:11">
      <c r="A86">
        <v>2007</v>
      </c>
      <c r="B86" t="s">
        <v>62</v>
      </c>
      <c r="C86">
        <v>0</v>
      </c>
      <c r="D86">
        <v>0</v>
      </c>
      <c r="E86">
        <v>17.559999999999999</v>
      </c>
      <c r="F86">
        <v>9.01</v>
      </c>
      <c r="G86">
        <v>29.18</v>
      </c>
      <c r="H86">
        <v>59.62</v>
      </c>
      <c r="I86">
        <v>0</v>
      </c>
      <c r="J86">
        <v>101.55</v>
      </c>
      <c r="K86">
        <v>8.61</v>
      </c>
    </row>
    <row r="87" spans="1:11">
      <c r="A87">
        <v>2007</v>
      </c>
      <c r="B87" t="s">
        <v>68</v>
      </c>
      <c r="C87">
        <v>0</v>
      </c>
      <c r="D87">
        <v>0</v>
      </c>
      <c r="E87">
        <v>21.48</v>
      </c>
      <c r="F87">
        <v>12.3</v>
      </c>
      <c r="G87">
        <v>30.44</v>
      </c>
      <c r="H87">
        <v>61.38</v>
      </c>
      <c r="I87">
        <v>1.8</v>
      </c>
      <c r="J87">
        <v>101.29</v>
      </c>
      <c r="K87">
        <v>8.84</v>
      </c>
    </row>
    <row r="88" spans="1:11">
      <c r="A88">
        <v>2007</v>
      </c>
      <c r="B88" t="s">
        <v>70</v>
      </c>
      <c r="C88">
        <v>0</v>
      </c>
      <c r="D88">
        <v>0</v>
      </c>
      <c r="E88">
        <v>25.91</v>
      </c>
      <c r="F88">
        <v>14.47</v>
      </c>
      <c r="G88">
        <v>37.479999999999997</v>
      </c>
      <c r="H88">
        <v>45.88</v>
      </c>
      <c r="I88">
        <v>0.19</v>
      </c>
      <c r="J88">
        <v>100.99</v>
      </c>
      <c r="K88">
        <v>8.9600000000000009</v>
      </c>
    </row>
    <row r="89" spans="1:11">
      <c r="A89">
        <v>2007</v>
      </c>
      <c r="B89" t="s">
        <v>72</v>
      </c>
      <c r="C89">
        <v>0</v>
      </c>
      <c r="D89">
        <v>0</v>
      </c>
      <c r="E89">
        <v>29.33</v>
      </c>
      <c r="F89">
        <v>22.8</v>
      </c>
      <c r="G89">
        <v>38.89</v>
      </c>
      <c r="H89">
        <v>65.94</v>
      </c>
      <c r="I89">
        <v>6.02</v>
      </c>
      <c r="J89">
        <v>100.73</v>
      </c>
      <c r="K89">
        <v>10.38</v>
      </c>
    </row>
    <row r="90" spans="1:11">
      <c r="A90">
        <v>2007</v>
      </c>
      <c r="B90" t="s">
        <v>74</v>
      </c>
      <c r="C90">
        <v>0</v>
      </c>
      <c r="D90">
        <v>0</v>
      </c>
      <c r="E90">
        <v>29.51</v>
      </c>
      <c r="F90">
        <v>23.44</v>
      </c>
      <c r="G90">
        <v>37.869999999999997</v>
      </c>
      <c r="H90">
        <v>74.44</v>
      </c>
      <c r="I90">
        <v>6.39</v>
      </c>
      <c r="J90">
        <v>100.31</v>
      </c>
      <c r="K90">
        <v>10.58</v>
      </c>
    </row>
    <row r="91" spans="1:11">
      <c r="A91">
        <v>2007</v>
      </c>
      <c r="B91" t="s">
        <v>76</v>
      </c>
      <c r="C91">
        <v>0</v>
      </c>
      <c r="D91">
        <v>0</v>
      </c>
      <c r="E91">
        <v>28.42</v>
      </c>
      <c r="F91">
        <v>25.49</v>
      </c>
      <c r="G91">
        <v>33.450000000000003</v>
      </c>
      <c r="H91">
        <v>89.25</v>
      </c>
      <c r="I91">
        <v>17.91</v>
      </c>
      <c r="J91">
        <v>100.12</v>
      </c>
      <c r="K91">
        <v>10.76</v>
      </c>
    </row>
    <row r="92" spans="1:11">
      <c r="A92">
        <v>2007</v>
      </c>
      <c r="B92" t="s">
        <v>78</v>
      </c>
      <c r="C92">
        <v>85</v>
      </c>
      <c r="D92">
        <v>0</v>
      </c>
      <c r="E92">
        <v>28.09</v>
      </c>
      <c r="F92">
        <v>25.35</v>
      </c>
      <c r="G92">
        <v>33.15</v>
      </c>
      <c r="H92">
        <v>91</v>
      </c>
      <c r="I92">
        <v>22.63</v>
      </c>
      <c r="J92">
        <v>100.01</v>
      </c>
      <c r="K92">
        <v>12.77</v>
      </c>
    </row>
    <row r="93" spans="1:11">
      <c r="A93">
        <v>2007</v>
      </c>
      <c r="B93" t="s">
        <v>80</v>
      </c>
      <c r="C93">
        <v>179</v>
      </c>
      <c r="D93">
        <v>0</v>
      </c>
      <c r="E93">
        <v>28.2</v>
      </c>
      <c r="F93">
        <v>24.81</v>
      </c>
      <c r="G93">
        <v>33.69</v>
      </c>
      <c r="H93">
        <v>89.44</v>
      </c>
      <c r="I93">
        <v>8.7899999999999991</v>
      </c>
      <c r="J93">
        <v>100.07</v>
      </c>
      <c r="K93">
        <v>12.89</v>
      </c>
    </row>
    <row r="94" spans="1:11">
      <c r="A94">
        <v>2007</v>
      </c>
      <c r="B94" t="s">
        <v>82</v>
      </c>
      <c r="C94">
        <v>163</v>
      </c>
      <c r="D94">
        <v>0</v>
      </c>
      <c r="E94">
        <v>27.44</v>
      </c>
      <c r="F94">
        <v>23.91</v>
      </c>
      <c r="G94">
        <v>32.15</v>
      </c>
      <c r="H94">
        <v>89.75</v>
      </c>
      <c r="I94">
        <v>7.61</v>
      </c>
      <c r="J94">
        <v>100.32</v>
      </c>
      <c r="K94">
        <v>14.98</v>
      </c>
    </row>
    <row r="95" spans="1:11">
      <c r="A95">
        <v>2007</v>
      </c>
      <c r="B95" t="s">
        <v>84</v>
      </c>
      <c r="C95">
        <v>39</v>
      </c>
      <c r="D95">
        <v>0</v>
      </c>
      <c r="E95">
        <v>25.57</v>
      </c>
      <c r="F95">
        <v>17.53</v>
      </c>
      <c r="G95">
        <v>32.03</v>
      </c>
      <c r="H95">
        <v>85.69</v>
      </c>
      <c r="I95">
        <v>9.76</v>
      </c>
      <c r="J95">
        <v>100.78</v>
      </c>
      <c r="K95">
        <v>9.68</v>
      </c>
    </row>
    <row r="96" spans="1:11">
      <c r="A96">
        <v>2007</v>
      </c>
      <c r="B96" t="s">
        <v>86</v>
      </c>
      <c r="C96">
        <v>0</v>
      </c>
      <c r="D96">
        <v>0</v>
      </c>
      <c r="E96">
        <v>22.54</v>
      </c>
      <c r="F96">
        <v>15.17</v>
      </c>
      <c r="G96">
        <v>29.07</v>
      </c>
      <c r="H96">
        <v>84.12</v>
      </c>
      <c r="I96">
        <v>2.59</v>
      </c>
      <c r="J96">
        <v>101.14</v>
      </c>
      <c r="K96">
        <v>14.18</v>
      </c>
    </row>
    <row r="97" spans="1:11">
      <c r="A97">
        <v>2007</v>
      </c>
      <c r="B97" t="s">
        <v>88</v>
      </c>
      <c r="C97">
        <v>0</v>
      </c>
      <c r="D97">
        <v>0</v>
      </c>
      <c r="E97">
        <v>17.420000000000002</v>
      </c>
      <c r="F97">
        <v>9.48</v>
      </c>
      <c r="G97">
        <v>26.04</v>
      </c>
      <c r="H97">
        <v>80.5</v>
      </c>
      <c r="I97">
        <v>0</v>
      </c>
      <c r="J97">
        <v>101.35</v>
      </c>
      <c r="K97">
        <v>7.26</v>
      </c>
    </row>
    <row r="98" spans="1:11">
      <c r="A98">
        <v>2008</v>
      </c>
      <c r="B98" t="s">
        <v>62</v>
      </c>
      <c r="C98">
        <v>0</v>
      </c>
      <c r="D98">
        <v>0</v>
      </c>
      <c r="E98">
        <v>17.510000000000002</v>
      </c>
      <c r="F98">
        <v>9.3699999999999992</v>
      </c>
      <c r="G98">
        <v>26.47</v>
      </c>
      <c r="H98">
        <v>73.88</v>
      </c>
      <c r="I98">
        <v>1.05</v>
      </c>
      <c r="J98">
        <v>101.33</v>
      </c>
      <c r="K98">
        <v>7.9</v>
      </c>
    </row>
    <row r="99" spans="1:11">
      <c r="A99">
        <v>2008</v>
      </c>
      <c r="B99" t="s">
        <v>68</v>
      </c>
      <c r="C99">
        <v>0</v>
      </c>
      <c r="D99">
        <v>0</v>
      </c>
      <c r="E99">
        <v>19.260000000000002</v>
      </c>
      <c r="F99">
        <v>7.83</v>
      </c>
      <c r="G99">
        <v>31.05</v>
      </c>
      <c r="H99">
        <v>62.5</v>
      </c>
      <c r="I99">
        <v>0.63</v>
      </c>
      <c r="J99">
        <v>101.29</v>
      </c>
      <c r="K99">
        <v>8.52</v>
      </c>
    </row>
    <row r="100" spans="1:11">
      <c r="A100">
        <v>2008</v>
      </c>
      <c r="B100" t="s">
        <v>70</v>
      </c>
      <c r="C100">
        <v>0</v>
      </c>
      <c r="D100">
        <v>0</v>
      </c>
      <c r="E100">
        <v>26.87</v>
      </c>
      <c r="F100">
        <v>15.82</v>
      </c>
      <c r="G100">
        <v>37.4</v>
      </c>
      <c r="H100">
        <v>60.94</v>
      </c>
      <c r="I100">
        <v>0.96</v>
      </c>
      <c r="J100">
        <v>100.84</v>
      </c>
      <c r="K100">
        <v>9.68</v>
      </c>
    </row>
    <row r="101" spans="1:11">
      <c r="A101">
        <v>2008</v>
      </c>
      <c r="B101" t="s">
        <v>72</v>
      </c>
      <c r="C101">
        <v>0</v>
      </c>
      <c r="D101">
        <v>0</v>
      </c>
      <c r="E101">
        <v>30.09</v>
      </c>
      <c r="F101">
        <v>19.510000000000002</v>
      </c>
      <c r="G101">
        <v>40.479999999999997</v>
      </c>
      <c r="H101">
        <v>56.44</v>
      </c>
      <c r="I101">
        <v>1.6</v>
      </c>
      <c r="J101">
        <v>100.58</v>
      </c>
      <c r="K101">
        <v>9.99</v>
      </c>
    </row>
    <row r="102" spans="1:11">
      <c r="A102">
        <v>2008</v>
      </c>
      <c r="B102" t="s">
        <v>74</v>
      </c>
      <c r="C102">
        <v>0</v>
      </c>
      <c r="D102">
        <v>0</v>
      </c>
      <c r="E102">
        <v>30.72</v>
      </c>
      <c r="F102">
        <v>25.44</v>
      </c>
      <c r="G102">
        <v>39.229999999999997</v>
      </c>
      <c r="H102">
        <v>66.38</v>
      </c>
      <c r="I102">
        <v>5.19</v>
      </c>
      <c r="J102">
        <v>100.21</v>
      </c>
      <c r="K102">
        <v>9.8000000000000007</v>
      </c>
    </row>
    <row r="103" spans="1:11">
      <c r="A103">
        <v>2008</v>
      </c>
      <c r="B103" t="s">
        <v>76</v>
      </c>
      <c r="C103">
        <v>160</v>
      </c>
      <c r="D103">
        <v>0</v>
      </c>
      <c r="E103">
        <v>28.46</v>
      </c>
      <c r="F103">
        <v>24.97</v>
      </c>
      <c r="G103">
        <v>34.5</v>
      </c>
      <c r="H103">
        <v>85.25</v>
      </c>
      <c r="I103">
        <v>9.73</v>
      </c>
      <c r="J103">
        <v>100.01</v>
      </c>
      <c r="K103">
        <v>13.85</v>
      </c>
    </row>
    <row r="104" spans="1:11">
      <c r="A104">
        <v>2008</v>
      </c>
      <c r="B104" t="s">
        <v>78</v>
      </c>
      <c r="C104">
        <v>475</v>
      </c>
      <c r="D104">
        <v>0</v>
      </c>
      <c r="E104">
        <v>28.16</v>
      </c>
      <c r="F104">
        <v>25.24</v>
      </c>
      <c r="G104">
        <v>32.729999999999997</v>
      </c>
      <c r="H104">
        <v>89.38</v>
      </c>
      <c r="I104">
        <v>10.17</v>
      </c>
      <c r="J104">
        <v>100</v>
      </c>
      <c r="K104">
        <v>10.47</v>
      </c>
    </row>
    <row r="105" spans="1:11">
      <c r="A105">
        <v>2008</v>
      </c>
      <c r="B105" t="s">
        <v>80</v>
      </c>
      <c r="C105">
        <v>334</v>
      </c>
      <c r="D105">
        <v>0</v>
      </c>
      <c r="E105">
        <v>27.88</v>
      </c>
      <c r="F105">
        <v>24.81</v>
      </c>
      <c r="G105">
        <v>32.770000000000003</v>
      </c>
      <c r="H105">
        <v>89.88</v>
      </c>
      <c r="I105">
        <v>9.1199999999999992</v>
      </c>
      <c r="J105">
        <v>100.17</v>
      </c>
      <c r="K105">
        <v>11.9</v>
      </c>
    </row>
    <row r="106" spans="1:11">
      <c r="A106">
        <v>2008</v>
      </c>
      <c r="B106" t="s">
        <v>82</v>
      </c>
      <c r="C106">
        <v>184</v>
      </c>
      <c r="D106">
        <v>0</v>
      </c>
      <c r="E106">
        <v>27.51</v>
      </c>
      <c r="F106">
        <v>23.71</v>
      </c>
      <c r="G106">
        <v>32.92</v>
      </c>
      <c r="H106">
        <v>88.88</v>
      </c>
      <c r="I106">
        <v>5.95</v>
      </c>
      <c r="J106">
        <v>100.42</v>
      </c>
      <c r="K106">
        <v>10.09</v>
      </c>
    </row>
    <row r="107" spans="1:11">
      <c r="A107">
        <v>2008</v>
      </c>
      <c r="B107" t="s">
        <v>84</v>
      </c>
      <c r="C107">
        <v>0</v>
      </c>
      <c r="D107">
        <v>0</v>
      </c>
      <c r="E107">
        <v>25.98</v>
      </c>
      <c r="F107">
        <v>17.55</v>
      </c>
      <c r="G107">
        <v>32.19</v>
      </c>
      <c r="H107">
        <v>85.12</v>
      </c>
      <c r="I107">
        <v>7.26</v>
      </c>
      <c r="J107">
        <v>100.88</v>
      </c>
      <c r="K107">
        <v>17.21</v>
      </c>
    </row>
    <row r="108" spans="1:11">
      <c r="A108">
        <v>2008</v>
      </c>
      <c r="B108" t="s">
        <v>86</v>
      </c>
      <c r="C108">
        <v>0</v>
      </c>
      <c r="D108">
        <v>0</v>
      </c>
      <c r="E108">
        <v>22.43</v>
      </c>
      <c r="F108">
        <v>14.55</v>
      </c>
      <c r="G108">
        <v>29.98</v>
      </c>
      <c r="H108">
        <v>78.19</v>
      </c>
      <c r="I108">
        <v>0.01</v>
      </c>
      <c r="J108">
        <v>101.2</v>
      </c>
      <c r="K108">
        <v>6.91</v>
      </c>
    </row>
    <row r="109" spans="1:11">
      <c r="A109">
        <v>2008</v>
      </c>
      <c r="B109" t="s">
        <v>88</v>
      </c>
      <c r="C109">
        <v>0</v>
      </c>
      <c r="D109">
        <v>0</v>
      </c>
      <c r="E109">
        <v>20.309999999999999</v>
      </c>
      <c r="F109">
        <v>12.88</v>
      </c>
      <c r="G109">
        <v>28.52</v>
      </c>
      <c r="H109">
        <v>76.44</v>
      </c>
      <c r="I109">
        <v>0.68</v>
      </c>
      <c r="J109">
        <v>101.33</v>
      </c>
      <c r="K109">
        <v>7.36</v>
      </c>
    </row>
    <row r="110" spans="1:11">
      <c r="A110">
        <v>2009</v>
      </c>
      <c r="B110" t="s">
        <v>62</v>
      </c>
      <c r="C110">
        <v>0</v>
      </c>
      <c r="D110">
        <v>0</v>
      </c>
      <c r="E110">
        <v>19.510000000000002</v>
      </c>
      <c r="F110">
        <v>10.14</v>
      </c>
      <c r="G110">
        <v>29.26</v>
      </c>
      <c r="H110">
        <v>67.94</v>
      </c>
      <c r="I110">
        <v>0.03</v>
      </c>
      <c r="J110">
        <v>101.44</v>
      </c>
      <c r="K110">
        <v>7.84</v>
      </c>
    </row>
    <row r="111" spans="1:11">
      <c r="A111">
        <v>2009</v>
      </c>
      <c r="B111" t="s">
        <v>68</v>
      </c>
      <c r="C111">
        <v>0</v>
      </c>
      <c r="D111">
        <v>0</v>
      </c>
      <c r="E111">
        <v>22.13</v>
      </c>
      <c r="F111">
        <v>11.62</v>
      </c>
      <c r="G111">
        <v>34.58</v>
      </c>
      <c r="H111">
        <v>54.19</v>
      </c>
      <c r="I111">
        <v>0.69</v>
      </c>
      <c r="J111">
        <v>101.08</v>
      </c>
      <c r="K111">
        <v>8.5399999999999991</v>
      </c>
    </row>
    <row r="112" spans="1:11">
      <c r="A112">
        <v>2009</v>
      </c>
      <c r="B112" t="s">
        <v>70</v>
      </c>
      <c r="C112">
        <v>0</v>
      </c>
      <c r="D112">
        <v>0</v>
      </c>
      <c r="E112">
        <v>27.27</v>
      </c>
      <c r="F112">
        <v>14.26</v>
      </c>
      <c r="G112">
        <v>38.01</v>
      </c>
      <c r="H112">
        <v>48.56</v>
      </c>
      <c r="I112">
        <v>1.22</v>
      </c>
      <c r="J112">
        <v>100.86</v>
      </c>
      <c r="K112">
        <v>9.4600000000000009</v>
      </c>
    </row>
    <row r="113" spans="1:11">
      <c r="A113">
        <v>2009</v>
      </c>
      <c r="B113" t="s">
        <v>72</v>
      </c>
      <c r="C113">
        <v>0</v>
      </c>
      <c r="D113">
        <v>0</v>
      </c>
      <c r="E113">
        <v>30.61</v>
      </c>
      <c r="F113">
        <v>22.54</v>
      </c>
      <c r="G113">
        <v>40.65</v>
      </c>
      <c r="H113">
        <v>60.94</v>
      </c>
      <c r="I113">
        <v>1.48</v>
      </c>
      <c r="J113">
        <v>100.54</v>
      </c>
      <c r="K113">
        <v>10.7</v>
      </c>
    </row>
    <row r="114" spans="1:11">
      <c r="A114">
        <v>2009</v>
      </c>
      <c r="B114" t="s">
        <v>74</v>
      </c>
      <c r="C114">
        <v>1</v>
      </c>
      <c r="D114">
        <v>0</v>
      </c>
      <c r="E114">
        <v>29.86</v>
      </c>
      <c r="F114">
        <v>24.5</v>
      </c>
      <c r="G114">
        <v>40.03</v>
      </c>
      <c r="H114">
        <v>73.31</v>
      </c>
      <c r="I114">
        <v>7.98</v>
      </c>
      <c r="J114">
        <v>100.32</v>
      </c>
      <c r="K114">
        <v>19.84</v>
      </c>
    </row>
    <row r="115" spans="1:11">
      <c r="A115">
        <v>2009</v>
      </c>
      <c r="B115" t="s">
        <v>76</v>
      </c>
      <c r="C115">
        <v>0</v>
      </c>
      <c r="D115">
        <v>0</v>
      </c>
      <c r="E115">
        <v>29.03</v>
      </c>
      <c r="F115">
        <v>25.24</v>
      </c>
      <c r="G115">
        <v>35.01</v>
      </c>
      <c r="H115">
        <v>85.44</v>
      </c>
      <c r="I115">
        <v>9.2100000000000009</v>
      </c>
      <c r="J115">
        <v>100.01</v>
      </c>
      <c r="K115">
        <v>9.49</v>
      </c>
    </row>
    <row r="116" spans="1:11">
      <c r="A116">
        <v>2009</v>
      </c>
      <c r="B116" t="s">
        <v>78</v>
      </c>
      <c r="C116">
        <v>4</v>
      </c>
      <c r="D116">
        <v>0</v>
      </c>
      <c r="E116">
        <v>28.53</v>
      </c>
      <c r="F116">
        <v>25.48</v>
      </c>
      <c r="G116">
        <v>33.799999999999997</v>
      </c>
      <c r="H116">
        <v>88.81</v>
      </c>
      <c r="I116">
        <v>15.46</v>
      </c>
      <c r="J116">
        <v>99.91</v>
      </c>
      <c r="K116">
        <v>11.87</v>
      </c>
    </row>
    <row r="117" spans="1:11">
      <c r="A117">
        <v>2009</v>
      </c>
      <c r="B117" t="s">
        <v>80</v>
      </c>
      <c r="C117">
        <v>127</v>
      </c>
      <c r="D117">
        <v>0</v>
      </c>
      <c r="E117">
        <v>28.33</v>
      </c>
      <c r="F117">
        <v>24.51</v>
      </c>
      <c r="G117">
        <v>34.01</v>
      </c>
      <c r="H117">
        <v>88.81</v>
      </c>
      <c r="I117">
        <v>13.69</v>
      </c>
      <c r="J117">
        <v>100.26</v>
      </c>
      <c r="K117">
        <v>9.99</v>
      </c>
    </row>
    <row r="118" spans="1:11">
      <c r="A118">
        <v>2009</v>
      </c>
      <c r="B118" t="s">
        <v>82</v>
      </c>
      <c r="C118">
        <v>188</v>
      </c>
      <c r="D118">
        <v>0</v>
      </c>
      <c r="E118">
        <v>27.74</v>
      </c>
      <c r="F118">
        <v>23.96</v>
      </c>
      <c r="G118">
        <v>33.119999999999997</v>
      </c>
      <c r="H118">
        <v>89.25</v>
      </c>
      <c r="I118">
        <v>7.07</v>
      </c>
      <c r="J118">
        <v>100.42</v>
      </c>
      <c r="K118">
        <v>12.74</v>
      </c>
    </row>
    <row r="119" spans="1:11">
      <c r="A119">
        <v>2009</v>
      </c>
      <c r="B119" t="s">
        <v>84</v>
      </c>
      <c r="C119">
        <v>154</v>
      </c>
      <c r="D119">
        <v>0</v>
      </c>
      <c r="E119">
        <v>25.63</v>
      </c>
      <c r="F119">
        <v>17.739999999999998</v>
      </c>
      <c r="G119">
        <v>31.87</v>
      </c>
      <c r="H119">
        <v>85.62</v>
      </c>
      <c r="I119">
        <v>4.42</v>
      </c>
      <c r="J119">
        <v>100.82</v>
      </c>
      <c r="K119">
        <v>10.96</v>
      </c>
    </row>
    <row r="120" spans="1:11">
      <c r="A120">
        <v>2009</v>
      </c>
      <c r="B120" t="s">
        <v>86</v>
      </c>
      <c r="C120">
        <v>0</v>
      </c>
      <c r="D120">
        <v>0</v>
      </c>
      <c r="E120">
        <v>22.69</v>
      </c>
      <c r="F120">
        <v>13.07</v>
      </c>
      <c r="G120">
        <v>30.31</v>
      </c>
      <c r="H120">
        <v>80.06</v>
      </c>
      <c r="I120">
        <v>0.87</v>
      </c>
      <c r="J120">
        <v>101.2</v>
      </c>
      <c r="K120">
        <v>7.74</v>
      </c>
    </row>
    <row r="121" spans="1:11">
      <c r="A121">
        <v>2009</v>
      </c>
      <c r="B121" t="s">
        <v>88</v>
      </c>
      <c r="C121">
        <v>0</v>
      </c>
      <c r="D121">
        <v>0</v>
      </c>
      <c r="E121">
        <v>18.48</v>
      </c>
      <c r="F121">
        <v>9.5500000000000007</v>
      </c>
      <c r="G121">
        <v>27.44</v>
      </c>
      <c r="H121">
        <v>75.44</v>
      </c>
      <c r="I121">
        <v>0.04</v>
      </c>
      <c r="J121">
        <v>101.43</v>
      </c>
      <c r="K121">
        <v>7.94</v>
      </c>
    </row>
    <row r="122" spans="1:11">
      <c r="A122">
        <v>2010</v>
      </c>
      <c r="B122" t="s">
        <v>62</v>
      </c>
      <c r="C122">
        <v>0</v>
      </c>
      <c r="D122">
        <v>0</v>
      </c>
      <c r="E122">
        <v>17.579999999999998</v>
      </c>
      <c r="F122">
        <v>9.14</v>
      </c>
      <c r="G122">
        <v>28.38</v>
      </c>
      <c r="H122">
        <v>65.94</v>
      </c>
      <c r="I122">
        <v>0</v>
      </c>
      <c r="J122">
        <v>101.51</v>
      </c>
      <c r="K122">
        <v>9.34</v>
      </c>
    </row>
    <row r="123" spans="1:11">
      <c r="A123">
        <v>2010</v>
      </c>
      <c r="B123" t="s">
        <v>68</v>
      </c>
      <c r="C123">
        <v>0</v>
      </c>
      <c r="D123">
        <v>0</v>
      </c>
      <c r="E123">
        <v>21.55</v>
      </c>
      <c r="F123">
        <v>10.72</v>
      </c>
      <c r="G123">
        <v>32.049999999999997</v>
      </c>
      <c r="H123">
        <v>51.38</v>
      </c>
      <c r="I123">
        <v>0.81</v>
      </c>
      <c r="J123">
        <v>101.25</v>
      </c>
      <c r="K123">
        <v>8.02</v>
      </c>
    </row>
    <row r="124" spans="1:11">
      <c r="A124">
        <v>2010</v>
      </c>
      <c r="B124" t="s">
        <v>70</v>
      </c>
      <c r="C124">
        <v>0</v>
      </c>
      <c r="D124">
        <v>0</v>
      </c>
      <c r="E124">
        <v>28.22</v>
      </c>
      <c r="F124">
        <v>16.89</v>
      </c>
      <c r="G124">
        <v>39.08</v>
      </c>
      <c r="H124">
        <v>52.88</v>
      </c>
      <c r="I124">
        <v>0.94</v>
      </c>
      <c r="J124">
        <v>100.87</v>
      </c>
      <c r="K124">
        <v>12.62</v>
      </c>
    </row>
    <row r="125" spans="1:11">
      <c r="A125">
        <v>2010</v>
      </c>
      <c r="B125" t="s">
        <v>72</v>
      </c>
      <c r="C125">
        <v>0</v>
      </c>
      <c r="D125">
        <v>0</v>
      </c>
      <c r="E125">
        <v>31.1</v>
      </c>
      <c r="F125">
        <v>23.02</v>
      </c>
      <c r="G125">
        <v>42</v>
      </c>
      <c r="H125">
        <v>64.25</v>
      </c>
      <c r="I125">
        <v>2.33</v>
      </c>
      <c r="J125">
        <v>100.61</v>
      </c>
      <c r="K125">
        <v>13.39</v>
      </c>
    </row>
    <row r="126" spans="1:11">
      <c r="A126">
        <v>2010</v>
      </c>
      <c r="B126" t="s">
        <v>74</v>
      </c>
      <c r="C126">
        <v>0</v>
      </c>
      <c r="D126">
        <v>0</v>
      </c>
      <c r="E126">
        <v>29.73</v>
      </c>
      <c r="F126">
        <v>23.76</v>
      </c>
      <c r="G126">
        <v>39.15</v>
      </c>
      <c r="H126">
        <v>76.5</v>
      </c>
      <c r="I126">
        <v>9.86</v>
      </c>
      <c r="J126">
        <v>100.32</v>
      </c>
      <c r="K126">
        <v>11.14</v>
      </c>
    </row>
    <row r="127" spans="1:11">
      <c r="A127">
        <v>2010</v>
      </c>
      <c r="B127" t="s">
        <v>76</v>
      </c>
      <c r="C127">
        <v>0</v>
      </c>
      <c r="D127">
        <v>0</v>
      </c>
      <c r="E127">
        <v>28.63</v>
      </c>
      <c r="F127">
        <v>25.57</v>
      </c>
      <c r="G127">
        <v>33.340000000000003</v>
      </c>
      <c r="H127">
        <v>90</v>
      </c>
      <c r="I127">
        <v>14.13</v>
      </c>
      <c r="J127">
        <v>100.17</v>
      </c>
      <c r="K127">
        <v>12.09</v>
      </c>
    </row>
    <row r="128" spans="1:11">
      <c r="A128">
        <v>2010</v>
      </c>
      <c r="B128" t="s">
        <v>78</v>
      </c>
      <c r="C128">
        <v>35</v>
      </c>
      <c r="D128">
        <v>0</v>
      </c>
      <c r="E128">
        <v>28.41</v>
      </c>
      <c r="F128">
        <v>25.39</v>
      </c>
      <c r="G128">
        <v>33.65</v>
      </c>
      <c r="H128">
        <v>89.25</v>
      </c>
      <c r="I128">
        <v>6.32</v>
      </c>
      <c r="J128">
        <v>100.26</v>
      </c>
      <c r="K128">
        <v>11.98</v>
      </c>
    </row>
    <row r="129" spans="1:11">
      <c r="A129">
        <v>2010</v>
      </c>
      <c r="B129" t="s">
        <v>80</v>
      </c>
      <c r="C129">
        <v>183</v>
      </c>
      <c r="D129">
        <v>0</v>
      </c>
      <c r="E129">
        <v>28.24</v>
      </c>
      <c r="F129">
        <v>25.23</v>
      </c>
      <c r="G129">
        <v>33.880000000000003</v>
      </c>
      <c r="H129">
        <v>88.31</v>
      </c>
      <c r="I129">
        <v>8.5500000000000007</v>
      </c>
      <c r="J129">
        <v>100.35</v>
      </c>
      <c r="K129">
        <v>8.17</v>
      </c>
    </row>
    <row r="130" spans="1:11">
      <c r="A130">
        <v>2010</v>
      </c>
      <c r="B130" t="s">
        <v>82</v>
      </c>
      <c r="C130">
        <v>165</v>
      </c>
      <c r="D130">
        <v>0</v>
      </c>
      <c r="E130">
        <v>27.65</v>
      </c>
      <c r="F130">
        <v>23.91</v>
      </c>
      <c r="G130">
        <v>32.58</v>
      </c>
      <c r="H130">
        <v>89.19</v>
      </c>
      <c r="I130">
        <v>6.38</v>
      </c>
      <c r="J130">
        <v>100.52</v>
      </c>
      <c r="K130">
        <v>8.27</v>
      </c>
    </row>
    <row r="131" spans="1:11">
      <c r="A131">
        <v>2010</v>
      </c>
      <c r="B131" t="s">
        <v>84</v>
      </c>
      <c r="C131">
        <v>21</v>
      </c>
      <c r="D131">
        <v>0</v>
      </c>
      <c r="E131">
        <v>26.62</v>
      </c>
      <c r="F131">
        <v>18.43</v>
      </c>
      <c r="G131">
        <v>33.15</v>
      </c>
      <c r="H131">
        <v>86.38</v>
      </c>
      <c r="I131">
        <v>7.71</v>
      </c>
      <c r="J131">
        <v>100.64</v>
      </c>
      <c r="K131">
        <v>12.7</v>
      </c>
    </row>
    <row r="132" spans="1:11">
      <c r="A132">
        <v>2010</v>
      </c>
      <c r="B132" t="s">
        <v>86</v>
      </c>
      <c r="C132">
        <v>5</v>
      </c>
      <c r="D132">
        <v>0</v>
      </c>
      <c r="E132">
        <v>23.78</v>
      </c>
      <c r="F132">
        <v>13.77</v>
      </c>
      <c r="G132">
        <v>30.69</v>
      </c>
      <c r="H132">
        <v>79</v>
      </c>
      <c r="I132">
        <v>0.54</v>
      </c>
      <c r="J132">
        <v>101.1</v>
      </c>
      <c r="K132">
        <v>7.92</v>
      </c>
    </row>
    <row r="133" spans="1:11">
      <c r="A133">
        <v>2010</v>
      </c>
      <c r="B133" t="s">
        <v>88</v>
      </c>
      <c r="C133">
        <v>0</v>
      </c>
      <c r="D133">
        <v>0</v>
      </c>
      <c r="E133">
        <v>18.63</v>
      </c>
      <c r="F133">
        <v>10.01</v>
      </c>
      <c r="G133">
        <v>28.26</v>
      </c>
      <c r="H133">
        <v>77.56</v>
      </c>
      <c r="I133">
        <v>2.19</v>
      </c>
      <c r="J133">
        <v>101.11</v>
      </c>
      <c r="K133">
        <v>7.54</v>
      </c>
    </row>
    <row r="134" spans="1:11">
      <c r="A134">
        <v>2011</v>
      </c>
      <c r="B134" t="s">
        <v>62</v>
      </c>
      <c r="C134">
        <v>0</v>
      </c>
      <c r="D134">
        <v>0</v>
      </c>
      <c r="E134">
        <v>16.89</v>
      </c>
      <c r="F134">
        <v>7.58</v>
      </c>
      <c r="G134">
        <v>27.88</v>
      </c>
      <c r="H134">
        <v>68.44</v>
      </c>
      <c r="I134">
        <v>0</v>
      </c>
      <c r="J134">
        <v>101.3</v>
      </c>
      <c r="K134">
        <v>8.27</v>
      </c>
    </row>
    <row r="135" spans="1:11">
      <c r="A135">
        <v>2011</v>
      </c>
      <c r="B135" t="s">
        <v>68</v>
      </c>
      <c r="C135">
        <v>0</v>
      </c>
      <c r="D135">
        <v>0</v>
      </c>
      <c r="E135">
        <v>21.81</v>
      </c>
      <c r="F135">
        <v>12.13</v>
      </c>
      <c r="G135">
        <v>32.32</v>
      </c>
      <c r="H135">
        <v>55.06</v>
      </c>
      <c r="I135">
        <v>0.06</v>
      </c>
      <c r="J135">
        <v>101.14</v>
      </c>
      <c r="K135">
        <v>10.62</v>
      </c>
    </row>
    <row r="136" spans="1:11">
      <c r="A136">
        <v>2011</v>
      </c>
      <c r="B136" t="s">
        <v>70</v>
      </c>
      <c r="C136">
        <v>0</v>
      </c>
      <c r="D136">
        <v>0</v>
      </c>
      <c r="E136">
        <v>26.89</v>
      </c>
      <c r="F136">
        <v>14.42</v>
      </c>
      <c r="G136">
        <v>37.83</v>
      </c>
      <c r="H136">
        <v>54.38</v>
      </c>
      <c r="I136">
        <v>1.47</v>
      </c>
      <c r="J136">
        <v>100.87</v>
      </c>
      <c r="K136">
        <v>13.46</v>
      </c>
    </row>
    <row r="137" spans="1:11">
      <c r="A137">
        <v>2011</v>
      </c>
      <c r="B137" t="s">
        <v>72</v>
      </c>
      <c r="C137">
        <v>0</v>
      </c>
      <c r="D137">
        <v>0</v>
      </c>
      <c r="E137">
        <v>29.09</v>
      </c>
      <c r="F137">
        <v>21.05</v>
      </c>
      <c r="G137">
        <v>38.65</v>
      </c>
      <c r="H137">
        <v>61.69</v>
      </c>
      <c r="I137">
        <v>2.98</v>
      </c>
      <c r="J137">
        <v>100.78</v>
      </c>
      <c r="K137">
        <v>9.0399999999999991</v>
      </c>
    </row>
    <row r="138" spans="1:11">
      <c r="A138">
        <v>2011</v>
      </c>
      <c r="B138" t="s">
        <v>74</v>
      </c>
      <c r="C138">
        <v>0</v>
      </c>
      <c r="D138">
        <v>0</v>
      </c>
      <c r="E138">
        <v>29.2</v>
      </c>
      <c r="F138">
        <v>24.45</v>
      </c>
      <c r="G138">
        <v>37.200000000000003</v>
      </c>
      <c r="H138">
        <v>78.25</v>
      </c>
      <c r="I138">
        <v>9.7100000000000009</v>
      </c>
      <c r="J138">
        <v>100.36</v>
      </c>
      <c r="K138">
        <v>9.41</v>
      </c>
    </row>
    <row r="139" spans="1:11">
      <c r="A139">
        <v>2011</v>
      </c>
      <c r="B139" t="s">
        <v>76</v>
      </c>
      <c r="C139">
        <v>74</v>
      </c>
      <c r="D139">
        <v>0</v>
      </c>
      <c r="E139">
        <v>28.52</v>
      </c>
      <c r="F139">
        <v>24.67</v>
      </c>
      <c r="G139">
        <v>33.64</v>
      </c>
      <c r="H139">
        <v>87.12</v>
      </c>
      <c r="I139">
        <v>10.69</v>
      </c>
      <c r="J139">
        <v>99.93</v>
      </c>
      <c r="K139">
        <v>13.2</v>
      </c>
    </row>
    <row r="140" spans="1:11">
      <c r="A140">
        <v>2011</v>
      </c>
      <c r="B140" t="s">
        <v>78</v>
      </c>
      <c r="C140">
        <v>296</v>
      </c>
      <c r="D140">
        <v>1</v>
      </c>
      <c r="E140">
        <v>28.28</v>
      </c>
      <c r="F140">
        <v>24.76</v>
      </c>
      <c r="G140">
        <v>33.94</v>
      </c>
      <c r="H140">
        <v>88</v>
      </c>
      <c r="I140">
        <v>7.52</v>
      </c>
      <c r="J140">
        <v>100.09</v>
      </c>
      <c r="K140">
        <v>11.35</v>
      </c>
    </row>
    <row r="141" spans="1:11">
      <c r="A141">
        <v>2011</v>
      </c>
      <c r="B141" t="s">
        <v>80</v>
      </c>
      <c r="C141">
        <v>800</v>
      </c>
      <c r="D141">
        <v>0</v>
      </c>
      <c r="E141">
        <v>27.69</v>
      </c>
      <c r="F141">
        <v>24.41</v>
      </c>
      <c r="G141">
        <v>34.549999999999997</v>
      </c>
      <c r="H141">
        <v>90.69</v>
      </c>
      <c r="I141">
        <v>14.66</v>
      </c>
      <c r="J141">
        <v>100.22</v>
      </c>
      <c r="K141">
        <v>9.85</v>
      </c>
    </row>
    <row r="142" spans="1:11">
      <c r="A142">
        <v>2011</v>
      </c>
      <c r="B142" t="s">
        <v>82</v>
      </c>
      <c r="C142">
        <v>131</v>
      </c>
      <c r="D142">
        <v>1</v>
      </c>
      <c r="E142">
        <v>27.67</v>
      </c>
      <c r="F142">
        <v>23.5</v>
      </c>
      <c r="G142">
        <v>32.97</v>
      </c>
      <c r="H142">
        <v>90.12</v>
      </c>
      <c r="I142">
        <v>6.79</v>
      </c>
      <c r="J142">
        <v>100.28</v>
      </c>
      <c r="K142">
        <v>10.050000000000001</v>
      </c>
    </row>
    <row r="143" spans="1:11">
      <c r="A143">
        <v>2011</v>
      </c>
      <c r="B143" t="s">
        <v>84</v>
      </c>
      <c r="C143">
        <v>58</v>
      </c>
      <c r="D143">
        <v>0</v>
      </c>
      <c r="E143">
        <v>26.75</v>
      </c>
      <c r="F143">
        <v>18.95</v>
      </c>
      <c r="G143">
        <v>32.51</v>
      </c>
      <c r="H143">
        <v>82.12</v>
      </c>
      <c r="I143">
        <v>1.5</v>
      </c>
      <c r="J143">
        <v>100.83</v>
      </c>
      <c r="K143">
        <v>8.5399999999999991</v>
      </c>
    </row>
    <row r="144" spans="1:11">
      <c r="A144">
        <v>2011</v>
      </c>
      <c r="B144" t="s">
        <v>86</v>
      </c>
      <c r="C144">
        <v>0</v>
      </c>
      <c r="D144">
        <v>0</v>
      </c>
      <c r="E144">
        <v>23.15</v>
      </c>
      <c r="F144">
        <v>15.3</v>
      </c>
      <c r="G144">
        <v>30.93</v>
      </c>
      <c r="H144">
        <v>71.62</v>
      </c>
      <c r="I144">
        <v>0.01</v>
      </c>
      <c r="J144">
        <v>101.19</v>
      </c>
      <c r="K144">
        <v>6.81</v>
      </c>
    </row>
    <row r="145" spans="1:11">
      <c r="A145">
        <v>2011</v>
      </c>
      <c r="B145" t="s">
        <v>88</v>
      </c>
      <c r="C145">
        <v>0</v>
      </c>
      <c r="D145">
        <v>0</v>
      </c>
      <c r="E145">
        <v>19.760000000000002</v>
      </c>
      <c r="F145">
        <v>9.66</v>
      </c>
      <c r="G145">
        <v>30.4</v>
      </c>
      <c r="H145">
        <v>68.19</v>
      </c>
      <c r="I145">
        <v>0.02</v>
      </c>
      <c r="J145">
        <v>101.33</v>
      </c>
      <c r="K145">
        <v>8.08</v>
      </c>
    </row>
    <row r="146" spans="1:11">
      <c r="A146">
        <v>2012</v>
      </c>
      <c r="B146" t="s">
        <v>62</v>
      </c>
      <c r="C146">
        <v>0</v>
      </c>
      <c r="D146">
        <v>0</v>
      </c>
      <c r="E146">
        <v>18.55</v>
      </c>
      <c r="F146">
        <v>8.34</v>
      </c>
      <c r="G146">
        <v>28.28</v>
      </c>
      <c r="H146">
        <v>60.38</v>
      </c>
      <c r="I146">
        <v>0.44</v>
      </c>
      <c r="J146">
        <v>101.36</v>
      </c>
      <c r="K146">
        <v>9.01</v>
      </c>
    </row>
    <row r="147" spans="1:11">
      <c r="A147">
        <v>2012</v>
      </c>
      <c r="B147" t="s">
        <v>68</v>
      </c>
      <c r="C147">
        <v>0</v>
      </c>
      <c r="D147">
        <v>0</v>
      </c>
      <c r="E147">
        <v>21.8</v>
      </c>
      <c r="F147">
        <v>9.24</v>
      </c>
      <c r="G147">
        <v>34.97</v>
      </c>
      <c r="H147">
        <v>45.94</v>
      </c>
      <c r="I147">
        <v>0.39</v>
      </c>
      <c r="J147">
        <v>101.07</v>
      </c>
      <c r="K147">
        <v>8.9600000000000009</v>
      </c>
    </row>
    <row r="148" spans="1:11">
      <c r="A148">
        <v>2012</v>
      </c>
      <c r="B148" t="s">
        <v>70</v>
      </c>
      <c r="C148">
        <v>0</v>
      </c>
      <c r="D148">
        <v>0</v>
      </c>
      <c r="E148">
        <v>27.3</v>
      </c>
      <c r="F148">
        <v>15.6</v>
      </c>
      <c r="G148">
        <v>39.71</v>
      </c>
      <c r="H148">
        <v>48.81</v>
      </c>
      <c r="I148">
        <v>0.41</v>
      </c>
      <c r="J148">
        <v>100.83</v>
      </c>
      <c r="K148">
        <v>9.06</v>
      </c>
    </row>
    <row r="149" spans="1:11">
      <c r="A149">
        <v>2012</v>
      </c>
      <c r="B149" t="s">
        <v>72</v>
      </c>
      <c r="C149">
        <v>0</v>
      </c>
      <c r="D149">
        <v>0</v>
      </c>
      <c r="E149">
        <v>29.33</v>
      </c>
      <c r="F149">
        <v>21.33</v>
      </c>
      <c r="G149">
        <v>38.979999999999997</v>
      </c>
      <c r="H149">
        <v>68.88</v>
      </c>
      <c r="I149">
        <v>7.13</v>
      </c>
      <c r="J149">
        <v>100.6</v>
      </c>
      <c r="K149">
        <v>11.71</v>
      </c>
    </row>
    <row r="150" spans="1:11">
      <c r="A150">
        <v>2012</v>
      </c>
      <c r="B150" t="s">
        <v>74</v>
      </c>
      <c r="C150">
        <v>0</v>
      </c>
      <c r="D150">
        <v>0</v>
      </c>
      <c r="E150">
        <v>30.12</v>
      </c>
      <c r="F150">
        <v>23.24</v>
      </c>
      <c r="G150">
        <v>37.549999999999997</v>
      </c>
      <c r="H150">
        <v>73.5</v>
      </c>
      <c r="I150">
        <v>4.22</v>
      </c>
      <c r="J150">
        <v>100.26</v>
      </c>
      <c r="K150">
        <v>9.1999999999999993</v>
      </c>
    </row>
    <row r="151" spans="1:11">
      <c r="A151">
        <v>2012</v>
      </c>
      <c r="B151" t="s">
        <v>76</v>
      </c>
      <c r="C151">
        <v>16</v>
      </c>
      <c r="D151">
        <v>0</v>
      </c>
      <c r="E151">
        <v>29.55</v>
      </c>
      <c r="F151">
        <v>25.81</v>
      </c>
      <c r="G151">
        <v>35.76</v>
      </c>
      <c r="H151">
        <v>83.25</v>
      </c>
      <c r="I151">
        <v>7.51</v>
      </c>
      <c r="J151">
        <v>99.81</v>
      </c>
      <c r="K151">
        <v>11.77</v>
      </c>
    </row>
    <row r="152" spans="1:11">
      <c r="A152">
        <v>2012</v>
      </c>
      <c r="B152" t="s">
        <v>78</v>
      </c>
      <c r="C152">
        <v>108</v>
      </c>
      <c r="D152">
        <v>0</v>
      </c>
      <c r="E152">
        <v>28.58</v>
      </c>
      <c r="F152">
        <v>25.56</v>
      </c>
      <c r="G152">
        <v>33.86</v>
      </c>
      <c r="H152">
        <v>87.25</v>
      </c>
      <c r="I152">
        <v>9.56</v>
      </c>
      <c r="J152">
        <v>99.9</v>
      </c>
      <c r="K152">
        <v>12.45</v>
      </c>
    </row>
    <row r="153" spans="1:11">
      <c r="A153">
        <v>2012</v>
      </c>
      <c r="B153" t="s">
        <v>80</v>
      </c>
      <c r="C153">
        <v>138</v>
      </c>
      <c r="D153">
        <v>0</v>
      </c>
      <c r="E153">
        <v>28.12</v>
      </c>
      <c r="F153">
        <v>25.64</v>
      </c>
      <c r="G153">
        <v>32.74</v>
      </c>
      <c r="H153">
        <v>89.31</v>
      </c>
      <c r="I153">
        <v>9.73</v>
      </c>
      <c r="J153">
        <v>100.1</v>
      </c>
      <c r="K153">
        <v>9.3800000000000008</v>
      </c>
    </row>
    <row r="154" spans="1:11">
      <c r="A154">
        <v>2012</v>
      </c>
      <c r="B154" t="s">
        <v>82</v>
      </c>
      <c r="C154">
        <v>262</v>
      </c>
      <c r="D154">
        <v>0</v>
      </c>
      <c r="E154">
        <v>27.72</v>
      </c>
      <c r="F154">
        <v>24.12</v>
      </c>
      <c r="G154">
        <v>32.33</v>
      </c>
      <c r="H154">
        <v>89.69</v>
      </c>
      <c r="I154">
        <v>5.65</v>
      </c>
      <c r="J154">
        <v>100.45</v>
      </c>
      <c r="K154">
        <v>13.27</v>
      </c>
    </row>
    <row r="155" spans="1:11">
      <c r="A155">
        <v>2012</v>
      </c>
      <c r="B155" t="s">
        <v>84</v>
      </c>
      <c r="C155">
        <v>90</v>
      </c>
      <c r="D155">
        <v>0</v>
      </c>
      <c r="E155">
        <v>25.4</v>
      </c>
      <c r="F155">
        <v>15.39</v>
      </c>
      <c r="G155">
        <v>32.04</v>
      </c>
      <c r="H155">
        <v>84.19</v>
      </c>
      <c r="I155">
        <v>2.0499999999999998</v>
      </c>
      <c r="J155">
        <v>100.91</v>
      </c>
      <c r="K155">
        <v>9.85</v>
      </c>
    </row>
    <row r="156" spans="1:11">
      <c r="A156">
        <v>2012</v>
      </c>
      <c r="B156" t="s">
        <v>86</v>
      </c>
      <c r="C156">
        <v>57</v>
      </c>
      <c r="D156">
        <v>1</v>
      </c>
      <c r="E156">
        <v>21.55</v>
      </c>
      <c r="F156">
        <v>10.51</v>
      </c>
      <c r="G156">
        <v>31.06</v>
      </c>
      <c r="H156">
        <v>76.25</v>
      </c>
      <c r="I156">
        <v>2.2200000000000002</v>
      </c>
      <c r="J156">
        <v>101.1</v>
      </c>
      <c r="K156">
        <v>7.7</v>
      </c>
    </row>
    <row r="157" spans="1:11">
      <c r="A157">
        <v>2012</v>
      </c>
      <c r="B157" t="s">
        <v>88</v>
      </c>
      <c r="C157">
        <v>0</v>
      </c>
      <c r="D157">
        <v>0</v>
      </c>
      <c r="E157">
        <v>17.2</v>
      </c>
      <c r="F157">
        <v>6.11</v>
      </c>
      <c r="G157">
        <v>27.62</v>
      </c>
      <c r="H157">
        <v>69.38</v>
      </c>
      <c r="I157">
        <v>7.0000000000000007E-2</v>
      </c>
      <c r="J157">
        <v>101.27</v>
      </c>
      <c r="K157">
        <v>8.73</v>
      </c>
    </row>
    <row r="158" spans="1:11">
      <c r="A158">
        <v>2013</v>
      </c>
      <c r="B158" t="s">
        <v>62</v>
      </c>
      <c r="C158">
        <v>0</v>
      </c>
      <c r="D158">
        <v>0</v>
      </c>
      <c r="E158">
        <v>16.59</v>
      </c>
      <c r="F158">
        <v>3.43</v>
      </c>
      <c r="G158">
        <v>28.48</v>
      </c>
      <c r="H158">
        <v>58.38</v>
      </c>
      <c r="I158">
        <v>0.01</v>
      </c>
      <c r="J158">
        <v>101.44</v>
      </c>
      <c r="K158">
        <v>8.73</v>
      </c>
    </row>
    <row r="159" spans="1:11">
      <c r="A159">
        <v>2013</v>
      </c>
      <c r="B159" t="s">
        <v>68</v>
      </c>
      <c r="C159">
        <v>0</v>
      </c>
      <c r="D159">
        <v>0</v>
      </c>
      <c r="E159">
        <v>21.58</v>
      </c>
      <c r="F159">
        <v>10.119999999999999</v>
      </c>
      <c r="G159">
        <v>34.44</v>
      </c>
      <c r="H159">
        <v>48.75</v>
      </c>
      <c r="I159">
        <v>0.23</v>
      </c>
      <c r="J159">
        <v>101.21</v>
      </c>
      <c r="K159">
        <v>10.78</v>
      </c>
    </row>
    <row r="160" spans="1:11">
      <c r="A160">
        <v>2013</v>
      </c>
      <c r="B160" t="s">
        <v>70</v>
      </c>
      <c r="C160">
        <v>0</v>
      </c>
      <c r="D160">
        <v>0</v>
      </c>
      <c r="E160">
        <v>27.55</v>
      </c>
      <c r="F160">
        <v>13.54</v>
      </c>
      <c r="G160">
        <v>38.909999999999997</v>
      </c>
      <c r="H160">
        <v>49.31</v>
      </c>
      <c r="I160">
        <v>0.67</v>
      </c>
      <c r="J160">
        <v>100.9</v>
      </c>
      <c r="K160">
        <v>8.73</v>
      </c>
    </row>
    <row r="161" spans="1:11">
      <c r="A161">
        <v>2013</v>
      </c>
      <c r="B161" t="s">
        <v>72</v>
      </c>
      <c r="C161">
        <v>0</v>
      </c>
      <c r="D161">
        <v>0</v>
      </c>
      <c r="E161">
        <v>30.4</v>
      </c>
      <c r="F161">
        <v>20.54</v>
      </c>
      <c r="G161">
        <v>40.799999999999997</v>
      </c>
      <c r="H161">
        <v>57.94</v>
      </c>
      <c r="I161">
        <v>2.27</v>
      </c>
      <c r="J161">
        <v>100.56</v>
      </c>
      <c r="K161">
        <v>10.25</v>
      </c>
    </row>
    <row r="162" spans="1:11">
      <c r="A162">
        <v>2013</v>
      </c>
      <c r="B162" t="s">
        <v>74</v>
      </c>
      <c r="C162">
        <v>4</v>
      </c>
      <c r="D162">
        <v>0</v>
      </c>
      <c r="E162">
        <v>28.69</v>
      </c>
      <c r="F162">
        <v>23.73</v>
      </c>
      <c r="G162">
        <v>40.5</v>
      </c>
      <c r="H162">
        <v>83.44</v>
      </c>
      <c r="I162">
        <v>15.9</v>
      </c>
      <c r="J162">
        <v>100.22</v>
      </c>
      <c r="K162">
        <v>14.05</v>
      </c>
    </row>
    <row r="163" spans="1:11">
      <c r="A163">
        <v>2013</v>
      </c>
      <c r="B163" t="s">
        <v>76</v>
      </c>
      <c r="C163">
        <v>44</v>
      </c>
      <c r="D163">
        <v>0</v>
      </c>
      <c r="E163">
        <v>28.63</v>
      </c>
      <c r="F163">
        <v>25.76</v>
      </c>
      <c r="G163">
        <v>33.83</v>
      </c>
      <c r="H163">
        <v>88.81</v>
      </c>
      <c r="I163">
        <v>10.91</v>
      </c>
      <c r="J163">
        <v>99.97</v>
      </c>
      <c r="K163">
        <v>10.81</v>
      </c>
    </row>
    <row r="164" spans="1:11">
      <c r="A164">
        <v>2013</v>
      </c>
      <c r="B164" t="s">
        <v>78</v>
      </c>
      <c r="C164">
        <v>220</v>
      </c>
      <c r="D164">
        <v>0</v>
      </c>
      <c r="E164">
        <v>28.3</v>
      </c>
      <c r="F164">
        <v>25.37</v>
      </c>
      <c r="G164">
        <v>33.08</v>
      </c>
      <c r="H164">
        <v>89.31</v>
      </c>
      <c r="I164">
        <v>7.75</v>
      </c>
      <c r="J164">
        <v>99.89</v>
      </c>
      <c r="K164">
        <v>15.28</v>
      </c>
    </row>
    <row r="165" spans="1:11">
      <c r="A165">
        <v>2013</v>
      </c>
      <c r="B165" t="s">
        <v>80</v>
      </c>
      <c r="C165">
        <v>353</v>
      </c>
      <c r="D165">
        <v>1</v>
      </c>
      <c r="E165">
        <v>27.87</v>
      </c>
      <c r="F165">
        <v>24.65</v>
      </c>
      <c r="G165">
        <v>32.65</v>
      </c>
      <c r="H165">
        <v>90.06</v>
      </c>
      <c r="I165">
        <v>8.09</v>
      </c>
      <c r="J165">
        <v>100.14</v>
      </c>
      <c r="K165">
        <v>11.3</v>
      </c>
    </row>
    <row r="166" spans="1:11">
      <c r="A166">
        <v>2013</v>
      </c>
      <c r="B166" t="s">
        <v>82</v>
      </c>
      <c r="C166">
        <v>495</v>
      </c>
      <c r="D166">
        <v>1</v>
      </c>
      <c r="E166">
        <v>27.9</v>
      </c>
      <c r="F166">
        <v>24.49</v>
      </c>
      <c r="G166">
        <v>33.06</v>
      </c>
      <c r="H166">
        <v>88.44</v>
      </c>
      <c r="I166">
        <v>8.69</v>
      </c>
      <c r="J166">
        <v>100.36</v>
      </c>
      <c r="K166">
        <v>10.59</v>
      </c>
    </row>
    <row r="167" spans="1:11">
      <c r="A167">
        <v>2013</v>
      </c>
      <c r="B167" t="s">
        <v>84</v>
      </c>
      <c r="C167">
        <v>363</v>
      </c>
      <c r="D167">
        <v>0</v>
      </c>
      <c r="E167">
        <v>26.37</v>
      </c>
      <c r="F167">
        <v>19.350000000000001</v>
      </c>
      <c r="G167">
        <v>31.69</v>
      </c>
      <c r="H167">
        <v>87.19</v>
      </c>
      <c r="I167">
        <v>5.15</v>
      </c>
      <c r="J167">
        <v>100.88</v>
      </c>
      <c r="K167">
        <v>8.1999999999999993</v>
      </c>
    </row>
    <row r="168" spans="1:11">
      <c r="A168">
        <v>2013</v>
      </c>
      <c r="B168" t="s">
        <v>86</v>
      </c>
      <c r="C168">
        <v>212</v>
      </c>
      <c r="D168">
        <v>0</v>
      </c>
      <c r="E168">
        <v>22.33</v>
      </c>
      <c r="F168">
        <v>14.33</v>
      </c>
      <c r="G168">
        <v>29.93</v>
      </c>
      <c r="H168">
        <v>80.81</v>
      </c>
      <c r="I168">
        <v>0</v>
      </c>
      <c r="J168">
        <v>101.18</v>
      </c>
      <c r="K168">
        <v>7.87</v>
      </c>
    </row>
    <row r="169" spans="1:11">
      <c r="A169">
        <v>2013</v>
      </c>
      <c r="B169" t="s">
        <v>88</v>
      </c>
      <c r="C169">
        <v>58</v>
      </c>
      <c r="D169">
        <v>0</v>
      </c>
      <c r="E169">
        <v>19.46</v>
      </c>
      <c r="F169">
        <v>10.39</v>
      </c>
      <c r="G169">
        <v>29.28</v>
      </c>
      <c r="H169">
        <v>74.5</v>
      </c>
      <c r="I169">
        <v>0.05</v>
      </c>
      <c r="J169">
        <v>101.32</v>
      </c>
      <c r="K169">
        <v>8.23</v>
      </c>
    </row>
    <row r="170" spans="1:11">
      <c r="A170">
        <v>2014</v>
      </c>
      <c r="B170" t="s">
        <v>62</v>
      </c>
      <c r="C170">
        <v>15</v>
      </c>
      <c r="D170">
        <v>0</v>
      </c>
      <c r="E170">
        <v>17.96</v>
      </c>
      <c r="F170">
        <v>7.99</v>
      </c>
      <c r="G170">
        <v>29.35</v>
      </c>
      <c r="H170">
        <v>68.06</v>
      </c>
      <c r="I170">
        <v>0</v>
      </c>
      <c r="J170">
        <v>101.55</v>
      </c>
      <c r="K170">
        <v>7.87</v>
      </c>
    </row>
    <row r="171" spans="1:11">
      <c r="A171">
        <v>2014</v>
      </c>
      <c r="B171" t="s">
        <v>68</v>
      </c>
      <c r="C171">
        <v>7</v>
      </c>
      <c r="D171">
        <v>0</v>
      </c>
      <c r="E171">
        <v>21.31</v>
      </c>
      <c r="F171">
        <v>10.050000000000001</v>
      </c>
      <c r="G171">
        <v>32.119999999999997</v>
      </c>
      <c r="H171">
        <v>54.44</v>
      </c>
      <c r="I171">
        <v>0.41</v>
      </c>
      <c r="J171">
        <v>101.18</v>
      </c>
      <c r="K171">
        <v>8.14</v>
      </c>
    </row>
    <row r="172" spans="1:11">
      <c r="A172">
        <v>2014</v>
      </c>
      <c r="B172" t="s">
        <v>70</v>
      </c>
      <c r="C172">
        <v>2</v>
      </c>
      <c r="D172">
        <v>0</v>
      </c>
      <c r="E172">
        <v>26.8</v>
      </c>
      <c r="F172">
        <v>15.05</v>
      </c>
      <c r="G172">
        <v>41.2</v>
      </c>
      <c r="H172">
        <v>49.31</v>
      </c>
      <c r="I172">
        <v>0.53</v>
      </c>
      <c r="J172">
        <v>101.04</v>
      </c>
      <c r="K172">
        <v>9.59</v>
      </c>
    </row>
    <row r="173" spans="1:11">
      <c r="A173">
        <v>2014</v>
      </c>
      <c r="B173" t="s">
        <v>72</v>
      </c>
      <c r="C173">
        <v>0</v>
      </c>
      <c r="D173">
        <v>0</v>
      </c>
      <c r="E173">
        <v>31.9</v>
      </c>
      <c r="F173">
        <v>21.86</v>
      </c>
      <c r="G173">
        <v>42.54</v>
      </c>
      <c r="H173">
        <v>51.25</v>
      </c>
      <c r="I173">
        <v>1.64</v>
      </c>
      <c r="J173">
        <v>100.66</v>
      </c>
      <c r="K173">
        <v>11.05</v>
      </c>
    </row>
    <row r="174" spans="1:11">
      <c r="A174">
        <v>2014</v>
      </c>
      <c r="B174" t="s">
        <v>74</v>
      </c>
      <c r="C174">
        <v>8</v>
      </c>
      <c r="D174">
        <v>0</v>
      </c>
      <c r="E174">
        <v>31.19</v>
      </c>
      <c r="F174">
        <v>25.4</v>
      </c>
      <c r="G174">
        <v>41.61</v>
      </c>
      <c r="H174">
        <v>67.69</v>
      </c>
      <c r="I174">
        <v>7.85</v>
      </c>
      <c r="J174">
        <v>100.42</v>
      </c>
      <c r="K174">
        <v>11.3</v>
      </c>
    </row>
    <row r="175" spans="1:11">
      <c r="A175">
        <v>2014</v>
      </c>
      <c r="B175" t="s">
        <v>76</v>
      </c>
      <c r="C175">
        <v>9</v>
      </c>
      <c r="D175">
        <v>0</v>
      </c>
      <c r="E175">
        <v>29.39</v>
      </c>
      <c r="F175">
        <v>26.34</v>
      </c>
      <c r="G175">
        <v>35.22</v>
      </c>
      <c r="H175">
        <v>86.5</v>
      </c>
      <c r="I175">
        <v>14.63</v>
      </c>
      <c r="J175">
        <v>99.89</v>
      </c>
      <c r="K175">
        <v>10.16</v>
      </c>
    </row>
    <row r="176" spans="1:11">
      <c r="A176">
        <v>2014</v>
      </c>
      <c r="B176" t="s">
        <v>78</v>
      </c>
      <c r="C176">
        <v>82</v>
      </c>
      <c r="D176">
        <v>0</v>
      </c>
      <c r="E176">
        <v>28.59</v>
      </c>
      <c r="F176">
        <v>25.5</v>
      </c>
      <c r="G176">
        <v>33.01</v>
      </c>
      <c r="H176">
        <v>89.38</v>
      </c>
      <c r="I176">
        <v>7.81</v>
      </c>
      <c r="J176">
        <v>99.93</v>
      </c>
      <c r="K176">
        <v>14.55</v>
      </c>
    </row>
    <row r="177" spans="1:11">
      <c r="A177">
        <v>2014</v>
      </c>
      <c r="B177" t="s">
        <v>80</v>
      </c>
      <c r="C177">
        <v>80</v>
      </c>
      <c r="D177">
        <v>0</v>
      </c>
      <c r="E177">
        <v>28.14</v>
      </c>
      <c r="F177">
        <v>24.58</v>
      </c>
      <c r="G177">
        <v>33.159999999999997</v>
      </c>
      <c r="H177">
        <v>89.56</v>
      </c>
      <c r="I177">
        <v>11.51</v>
      </c>
      <c r="J177">
        <v>100.19</v>
      </c>
      <c r="K177">
        <v>11.88</v>
      </c>
    </row>
    <row r="178" spans="1:11">
      <c r="A178">
        <v>2014</v>
      </c>
      <c r="B178" t="s">
        <v>82</v>
      </c>
      <c r="C178">
        <v>76</v>
      </c>
      <c r="D178">
        <v>0</v>
      </c>
      <c r="E178">
        <v>27.85</v>
      </c>
      <c r="F178">
        <v>23.37</v>
      </c>
      <c r="G178">
        <v>32.69</v>
      </c>
      <c r="H178">
        <v>88.25</v>
      </c>
      <c r="I178">
        <v>8.5</v>
      </c>
      <c r="J178">
        <v>100.46</v>
      </c>
      <c r="K178">
        <v>10.57</v>
      </c>
    </row>
    <row r="179" spans="1:11">
      <c r="A179">
        <v>2014</v>
      </c>
      <c r="B179" t="s">
        <v>84</v>
      </c>
      <c r="C179">
        <v>63</v>
      </c>
      <c r="D179">
        <v>0</v>
      </c>
      <c r="E179">
        <v>26.51</v>
      </c>
      <c r="F179">
        <v>18.829999999999998</v>
      </c>
      <c r="G179">
        <v>32.94</v>
      </c>
      <c r="H179">
        <v>79.81</v>
      </c>
      <c r="I179">
        <v>2.2400000000000002</v>
      </c>
      <c r="J179">
        <v>101.01</v>
      </c>
      <c r="K179">
        <v>5.59</v>
      </c>
    </row>
    <row r="180" spans="1:11">
      <c r="A180">
        <v>2014</v>
      </c>
      <c r="B180" t="s">
        <v>86</v>
      </c>
      <c r="C180">
        <v>22</v>
      </c>
      <c r="D180">
        <v>0</v>
      </c>
      <c r="E180">
        <v>23.08</v>
      </c>
      <c r="F180">
        <v>14.09</v>
      </c>
      <c r="G180">
        <v>31.94</v>
      </c>
      <c r="H180">
        <v>71.88</v>
      </c>
      <c r="I180">
        <v>0.01</v>
      </c>
      <c r="J180">
        <v>101.13</v>
      </c>
      <c r="K180">
        <v>5.73</v>
      </c>
    </row>
    <row r="181" spans="1:11">
      <c r="A181">
        <v>2014</v>
      </c>
      <c r="B181" t="s">
        <v>88</v>
      </c>
      <c r="C181">
        <v>11</v>
      </c>
      <c r="D181">
        <v>0</v>
      </c>
      <c r="E181">
        <v>19.079999999999998</v>
      </c>
      <c r="F181">
        <v>9.39</v>
      </c>
      <c r="G181">
        <v>28.83</v>
      </c>
      <c r="H181">
        <v>69.44</v>
      </c>
      <c r="I181">
        <v>0.13</v>
      </c>
      <c r="J181">
        <v>101.39</v>
      </c>
      <c r="K181">
        <v>8.24</v>
      </c>
    </row>
    <row r="182" spans="1:11">
      <c r="A182">
        <v>2015</v>
      </c>
      <c r="B182" t="s">
        <v>62</v>
      </c>
      <c r="C182">
        <v>0</v>
      </c>
      <c r="D182">
        <v>0</v>
      </c>
      <c r="E182">
        <v>19.3</v>
      </c>
      <c r="F182">
        <v>9.3000000000000007</v>
      </c>
      <c r="G182">
        <v>29.72</v>
      </c>
      <c r="H182">
        <v>60.38</v>
      </c>
      <c r="I182">
        <v>0.11</v>
      </c>
      <c r="J182">
        <v>101.48</v>
      </c>
      <c r="K182">
        <v>8.1</v>
      </c>
    </row>
    <row r="183" spans="1:11">
      <c r="A183">
        <v>2015</v>
      </c>
      <c r="B183" t="s">
        <v>68</v>
      </c>
      <c r="C183">
        <v>0</v>
      </c>
      <c r="D183">
        <v>0</v>
      </c>
      <c r="E183">
        <v>22.56</v>
      </c>
      <c r="F183">
        <v>9.69</v>
      </c>
      <c r="G183">
        <v>33.9</v>
      </c>
      <c r="H183">
        <v>54.81</v>
      </c>
      <c r="I183">
        <v>0.83</v>
      </c>
      <c r="J183">
        <v>101.31</v>
      </c>
      <c r="K183">
        <v>8.99</v>
      </c>
    </row>
    <row r="184" spans="1:11">
      <c r="A184">
        <v>2015</v>
      </c>
      <c r="B184" t="s">
        <v>70</v>
      </c>
      <c r="C184">
        <v>2</v>
      </c>
      <c r="D184">
        <v>0</v>
      </c>
      <c r="E184">
        <v>26.87</v>
      </c>
      <c r="F184">
        <v>13.62</v>
      </c>
      <c r="G184">
        <v>37.729999999999997</v>
      </c>
      <c r="H184">
        <v>46.75</v>
      </c>
      <c r="I184">
        <v>0.73</v>
      </c>
      <c r="J184">
        <v>101.13</v>
      </c>
      <c r="K184">
        <v>8.6999999999999993</v>
      </c>
    </row>
    <row r="185" spans="1:11">
      <c r="A185">
        <v>2015</v>
      </c>
      <c r="B185" t="s">
        <v>72</v>
      </c>
      <c r="C185">
        <v>6</v>
      </c>
      <c r="D185">
        <v>0</v>
      </c>
      <c r="E185">
        <v>28.21</v>
      </c>
      <c r="F185">
        <v>21.97</v>
      </c>
      <c r="G185">
        <v>36.78</v>
      </c>
      <c r="H185">
        <v>71.88</v>
      </c>
      <c r="I185">
        <v>7.09</v>
      </c>
      <c r="J185">
        <v>100.81</v>
      </c>
      <c r="K185">
        <v>10.16</v>
      </c>
    </row>
    <row r="186" spans="1:11">
      <c r="A186">
        <v>2015</v>
      </c>
      <c r="B186" t="s">
        <v>74</v>
      </c>
      <c r="C186">
        <v>10</v>
      </c>
      <c r="D186">
        <v>0</v>
      </c>
      <c r="E186">
        <v>29.53</v>
      </c>
      <c r="F186">
        <v>23.6</v>
      </c>
      <c r="G186">
        <v>37.659999999999997</v>
      </c>
      <c r="H186">
        <v>77.38</v>
      </c>
      <c r="I186">
        <v>5.17</v>
      </c>
      <c r="J186">
        <v>100.44</v>
      </c>
      <c r="K186">
        <v>9.7200000000000006</v>
      </c>
    </row>
    <row r="187" spans="1:11">
      <c r="A187">
        <v>2015</v>
      </c>
      <c r="B187" t="s">
        <v>76</v>
      </c>
      <c r="C187">
        <v>28</v>
      </c>
      <c r="D187">
        <v>1</v>
      </c>
      <c r="E187">
        <v>28.96</v>
      </c>
      <c r="F187">
        <v>24.82</v>
      </c>
      <c r="G187">
        <v>35.72</v>
      </c>
      <c r="H187">
        <v>85.06</v>
      </c>
      <c r="I187">
        <v>14.65</v>
      </c>
      <c r="J187">
        <v>100.13</v>
      </c>
      <c r="K187">
        <v>10.26</v>
      </c>
    </row>
    <row r="188" spans="1:11">
      <c r="A188">
        <v>2015</v>
      </c>
      <c r="B188" t="s">
        <v>78</v>
      </c>
      <c r="C188">
        <v>171</v>
      </c>
      <c r="D188">
        <v>2</v>
      </c>
      <c r="E188">
        <v>28.04</v>
      </c>
      <c r="F188">
        <v>24.78</v>
      </c>
      <c r="G188">
        <v>33.03</v>
      </c>
      <c r="H188">
        <v>91.06</v>
      </c>
      <c r="I188">
        <v>23.14</v>
      </c>
      <c r="J188">
        <v>99.91</v>
      </c>
      <c r="K188">
        <v>15.68</v>
      </c>
    </row>
    <row r="189" spans="1:11">
      <c r="A189">
        <v>2015</v>
      </c>
      <c r="B189" t="s">
        <v>80</v>
      </c>
      <c r="C189">
        <v>765</v>
      </c>
      <c r="D189">
        <v>1</v>
      </c>
      <c r="E189">
        <v>28.09</v>
      </c>
      <c r="F189">
        <v>24.44</v>
      </c>
      <c r="G189">
        <v>32.21</v>
      </c>
      <c r="H189">
        <v>90.5</v>
      </c>
      <c r="I189">
        <v>10.53</v>
      </c>
      <c r="J189">
        <v>100.26</v>
      </c>
      <c r="K189">
        <v>12.17</v>
      </c>
    </row>
    <row r="190" spans="1:11">
      <c r="A190">
        <v>2015</v>
      </c>
      <c r="B190" t="s">
        <v>82</v>
      </c>
      <c r="C190">
        <v>965</v>
      </c>
      <c r="D190">
        <v>0</v>
      </c>
      <c r="E190">
        <v>28.23</v>
      </c>
      <c r="F190">
        <v>24.05</v>
      </c>
      <c r="G190">
        <v>33.6</v>
      </c>
      <c r="H190">
        <v>86.62</v>
      </c>
      <c r="I190">
        <v>8.2200000000000006</v>
      </c>
      <c r="J190">
        <v>100.5</v>
      </c>
      <c r="K190">
        <v>10.83</v>
      </c>
    </row>
    <row r="191" spans="1:11">
      <c r="A191">
        <v>2015</v>
      </c>
      <c r="B191" t="s">
        <v>84</v>
      </c>
      <c r="C191">
        <v>869</v>
      </c>
      <c r="D191">
        <v>0</v>
      </c>
      <c r="E191">
        <v>26.76</v>
      </c>
      <c r="F191">
        <v>20.2</v>
      </c>
      <c r="G191">
        <v>32.21</v>
      </c>
      <c r="H191">
        <v>81.44</v>
      </c>
      <c r="I191">
        <v>3.08</v>
      </c>
      <c r="J191">
        <v>101.01</v>
      </c>
      <c r="K191">
        <v>9.0399999999999991</v>
      </c>
    </row>
    <row r="192" spans="1:11">
      <c r="A192">
        <v>2015</v>
      </c>
      <c r="B192" t="s">
        <v>86</v>
      </c>
      <c r="C192">
        <v>271</v>
      </c>
      <c r="D192">
        <v>2</v>
      </c>
      <c r="E192">
        <v>23.8</v>
      </c>
      <c r="F192">
        <v>16.22</v>
      </c>
      <c r="G192">
        <v>30.27</v>
      </c>
      <c r="H192">
        <v>73.88</v>
      </c>
      <c r="I192">
        <v>0.05</v>
      </c>
      <c r="J192">
        <v>101.26</v>
      </c>
      <c r="K192">
        <v>5.03</v>
      </c>
    </row>
    <row r="193" spans="1:11">
      <c r="A193">
        <v>2015</v>
      </c>
      <c r="B193" t="s">
        <v>88</v>
      </c>
      <c r="C193">
        <v>75</v>
      </c>
      <c r="D193">
        <v>0</v>
      </c>
      <c r="E193">
        <v>19.899999999999999</v>
      </c>
      <c r="F193">
        <v>9.44</v>
      </c>
      <c r="G193">
        <v>29.05</v>
      </c>
      <c r="H193">
        <v>66.31</v>
      </c>
      <c r="I193">
        <v>0.04</v>
      </c>
      <c r="J193">
        <v>101.5</v>
      </c>
      <c r="K193">
        <v>7.29</v>
      </c>
    </row>
    <row r="194" spans="1:11">
      <c r="A194">
        <v>2016</v>
      </c>
      <c r="B194" t="s">
        <v>62</v>
      </c>
      <c r="C194">
        <v>13</v>
      </c>
      <c r="D194">
        <v>0</v>
      </c>
      <c r="E194">
        <v>19.100000000000001</v>
      </c>
      <c r="F194">
        <v>8.69</v>
      </c>
      <c r="G194">
        <v>28.08</v>
      </c>
      <c r="H194">
        <v>58.25</v>
      </c>
      <c r="I194">
        <v>0.24</v>
      </c>
      <c r="J194">
        <v>101.48</v>
      </c>
      <c r="K194">
        <v>6.67</v>
      </c>
    </row>
    <row r="195" spans="1:11">
      <c r="A195">
        <v>2016</v>
      </c>
      <c r="B195" t="s">
        <v>68</v>
      </c>
      <c r="C195">
        <v>3</v>
      </c>
      <c r="D195">
        <v>0</v>
      </c>
      <c r="E195">
        <v>24.38</v>
      </c>
      <c r="F195">
        <v>12.31</v>
      </c>
      <c r="G195">
        <v>35.729999999999997</v>
      </c>
      <c r="H195">
        <v>57.12</v>
      </c>
      <c r="I195">
        <v>1.54</v>
      </c>
      <c r="J195">
        <v>101.33</v>
      </c>
      <c r="K195">
        <v>8.6300000000000008</v>
      </c>
    </row>
    <row r="196" spans="1:11">
      <c r="A196">
        <v>2016</v>
      </c>
      <c r="B196" t="s">
        <v>70</v>
      </c>
      <c r="C196">
        <v>17</v>
      </c>
      <c r="D196">
        <v>0</v>
      </c>
      <c r="E196">
        <v>28.1</v>
      </c>
      <c r="F196">
        <v>18.3</v>
      </c>
      <c r="G196">
        <v>37.479999999999997</v>
      </c>
      <c r="H196">
        <v>55.81</v>
      </c>
      <c r="I196">
        <v>2.2599999999999998</v>
      </c>
      <c r="J196">
        <v>101</v>
      </c>
      <c r="K196">
        <v>9.42</v>
      </c>
    </row>
    <row r="197" spans="1:11">
      <c r="A197">
        <v>2016</v>
      </c>
      <c r="B197" t="s">
        <v>72</v>
      </c>
      <c r="C197">
        <v>38</v>
      </c>
      <c r="D197">
        <v>0</v>
      </c>
      <c r="E197">
        <v>30.48</v>
      </c>
      <c r="F197">
        <v>20.58</v>
      </c>
      <c r="G197">
        <v>40.049999999999997</v>
      </c>
      <c r="H197">
        <v>69.19</v>
      </c>
      <c r="I197">
        <v>2.4700000000000002</v>
      </c>
      <c r="J197">
        <v>100.48</v>
      </c>
      <c r="K197">
        <v>12.96</v>
      </c>
    </row>
    <row r="198" spans="1:11">
      <c r="A198">
        <v>2016</v>
      </c>
      <c r="B198" t="s">
        <v>74</v>
      </c>
      <c r="C198">
        <v>70</v>
      </c>
      <c r="D198">
        <v>1</v>
      </c>
      <c r="E198">
        <v>29.48</v>
      </c>
      <c r="F198">
        <v>24.01</v>
      </c>
      <c r="G198">
        <v>38.92</v>
      </c>
      <c r="H198">
        <v>77.69</v>
      </c>
      <c r="I198">
        <v>17.489999999999998</v>
      </c>
      <c r="J198">
        <v>100.36</v>
      </c>
      <c r="K198">
        <v>10.87</v>
      </c>
    </row>
    <row r="199" spans="1:11">
      <c r="A199">
        <v>2016</v>
      </c>
      <c r="B199" t="s">
        <v>76</v>
      </c>
      <c r="C199">
        <v>254</v>
      </c>
      <c r="D199">
        <v>2</v>
      </c>
      <c r="E199">
        <v>28.72</v>
      </c>
      <c r="F199">
        <v>25.19</v>
      </c>
      <c r="G199">
        <v>34.4</v>
      </c>
      <c r="H199">
        <v>88.38</v>
      </c>
      <c r="I199">
        <v>6.48</v>
      </c>
      <c r="J199">
        <v>100.22</v>
      </c>
      <c r="K199">
        <v>9.5500000000000007</v>
      </c>
    </row>
    <row r="200" spans="1:11">
      <c r="A200">
        <v>2016</v>
      </c>
      <c r="B200" t="s">
        <v>78</v>
      </c>
      <c r="C200">
        <v>926</v>
      </c>
      <c r="D200">
        <v>2</v>
      </c>
      <c r="E200">
        <v>28.17</v>
      </c>
      <c r="F200">
        <v>24.18</v>
      </c>
      <c r="G200">
        <v>32.65</v>
      </c>
      <c r="H200">
        <v>90.31</v>
      </c>
      <c r="I200">
        <v>22.25</v>
      </c>
      <c r="J200">
        <v>100.14</v>
      </c>
      <c r="K200">
        <v>12.39</v>
      </c>
    </row>
    <row r="201" spans="1:11">
      <c r="A201">
        <v>2016</v>
      </c>
      <c r="B201" t="s">
        <v>80</v>
      </c>
      <c r="C201">
        <v>1451</v>
      </c>
      <c r="D201">
        <v>1</v>
      </c>
      <c r="E201">
        <v>28.26</v>
      </c>
      <c r="F201">
        <v>24.6</v>
      </c>
      <c r="G201">
        <v>33.31</v>
      </c>
      <c r="H201">
        <v>89.69</v>
      </c>
      <c r="I201">
        <v>17.91</v>
      </c>
      <c r="J201">
        <v>100.05</v>
      </c>
      <c r="K201">
        <v>17.420000000000002</v>
      </c>
    </row>
    <row r="202" spans="1:11">
      <c r="A202">
        <v>2016</v>
      </c>
      <c r="B202" t="s">
        <v>82</v>
      </c>
      <c r="C202">
        <v>1544</v>
      </c>
      <c r="D202">
        <v>3</v>
      </c>
      <c r="E202">
        <v>28.05</v>
      </c>
      <c r="F202">
        <v>24.76</v>
      </c>
      <c r="G202">
        <v>32.369999999999997</v>
      </c>
      <c r="H202">
        <v>88.75</v>
      </c>
      <c r="I202">
        <v>10.82</v>
      </c>
      <c r="J202">
        <v>100.41</v>
      </c>
      <c r="K202">
        <v>10.5</v>
      </c>
    </row>
    <row r="203" spans="1:11">
      <c r="A203">
        <v>2016</v>
      </c>
      <c r="B203" t="s">
        <v>84</v>
      </c>
      <c r="C203">
        <v>1077</v>
      </c>
      <c r="D203">
        <v>1</v>
      </c>
      <c r="E203">
        <v>26.97</v>
      </c>
      <c r="F203">
        <v>20.079999999999998</v>
      </c>
      <c r="G203">
        <v>32.33</v>
      </c>
      <c r="H203">
        <v>85.56</v>
      </c>
      <c r="I203">
        <v>7.31</v>
      </c>
      <c r="J203">
        <v>100.67</v>
      </c>
      <c r="K203">
        <v>8.06</v>
      </c>
    </row>
    <row r="204" spans="1:11">
      <c r="A204">
        <v>2016</v>
      </c>
      <c r="B204" t="s">
        <v>86</v>
      </c>
      <c r="C204">
        <v>522</v>
      </c>
      <c r="D204">
        <v>2</v>
      </c>
      <c r="E204">
        <v>22.94</v>
      </c>
      <c r="F204">
        <v>15.14</v>
      </c>
      <c r="G204">
        <v>30.89</v>
      </c>
      <c r="H204">
        <v>81.31</v>
      </c>
      <c r="I204">
        <v>6.11</v>
      </c>
      <c r="J204">
        <v>101.13</v>
      </c>
      <c r="K204">
        <v>9.66</v>
      </c>
    </row>
    <row r="205" spans="1:11">
      <c r="A205">
        <v>2016</v>
      </c>
      <c r="B205" t="s">
        <v>88</v>
      </c>
      <c r="C205">
        <v>145</v>
      </c>
      <c r="D205">
        <v>2</v>
      </c>
      <c r="E205">
        <v>19.760000000000002</v>
      </c>
      <c r="F205">
        <v>11.37</v>
      </c>
      <c r="G205">
        <v>28.05</v>
      </c>
      <c r="H205">
        <v>80.75</v>
      </c>
      <c r="I205">
        <v>0.01</v>
      </c>
      <c r="J205">
        <v>101.31</v>
      </c>
      <c r="K205">
        <v>7.42</v>
      </c>
    </row>
    <row r="206" spans="1:11">
      <c r="A206">
        <v>2017</v>
      </c>
      <c r="B206" t="s">
        <v>62</v>
      </c>
      <c r="C206">
        <v>92</v>
      </c>
      <c r="D206">
        <v>0</v>
      </c>
      <c r="E206">
        <v>18.03</v>
      </c>
      <c r="F206">
        <v>6.82</v>
      </c>
      <c r="G206">
        <v>28.85</v>
      </c>
      <c r="H206">
        <v>68.88</v>
      </c>
      <c r="I206">
        <v>0.17</v>
      </c>
      <c r="J206">
        <v>101.42</v>
      </c>
      <c r="K206">
        <v>8.0500000000000007</v>
      </c>
    </row>
    <row r="207" spans="1:11">
      <c r="A207">
        <v>2017</v>
      </c>
      <c r="B207" t="s">
        <v>68</v>
      </c>
      <c r="C207">
        <v>58</v>
      </c>
      <c r="D207">
        <v>0</v>
      </c>
      <c r="E207">
        <v>22.4</v>
      </c>
      <c r="F207">
        <v>12.36</v>
      </c>
      <c r="G207">
        <v>33.44</v>
      </c>
      <c r="H207">
        <v>55.38</v>
      </c>
      <c r="I207">
        <v>0.32</v>
      </c>
      <c r="J207">
        <v>101.31</v>
      </c>
      <c r="K207">
        <v>10</v>
      </c>
    </row>
    <row r="208" spans="1:11">
      <c r="A208">
        <v>2017</v>
      </c>
      <c r="B208" t="s">
        <v>70</v>
      </c>
      <c r="C208">
        <v>36</v>
      </c>
      <c r="D208">
        <v>0</v>
      </c>
      <c r="E208">
        <v>24.76</v>
      </c>
      <c r="F208">
        <v>15.02</v>
      </c>
      <c r="G208">
        <v>34.909999999999997</v>
      </c>
      <c r="H208">
        <v>70.31</v>
      </c>
      <c r="I208">
        <v>7.35</v>
      </c>
      <c r="J208">
        <v>100.94</v>
      </c>
      <c r="K208">
        <v>10.6</v>
      </c>
    </row>
    <row r="209" spans="1:11">
      <c r="A209">
        <v>2017</v>
      </c>
      <c r="B209" t="s">
        <v>72</v>
      </c>
      <c r="C209">
        <v>73</v>
      </c>
      <c r="D209">
        <v>0</v>
      </c>
      <c r="E209">
        <v>27.36</v>
      </c>
      <c r="F209">
        <v>20.04</v>
      </c>
      <c r="G209">
        <v>34.57</v>
      </c>
      <c r="H209">
        <v>83.44</v>
      </c>
      <c r="I209">
        <v>16.72</v>
      </c>
      <c r="J209">
        <v>100.65</v>
      </c>
      <c r="K209">
        <v>10.65</v>
      </c>
    </row>
    <row r="210" spans="1:11">
      <c r="A210">
        <v>2017</v>
      </c>
      <c r="B210" t="s">
        <v>74</v>
      </c>
      <c r="C210">
        <v>134</v>
      </c>
      <c r="D210">
        <v>1</v>
      </c>
      <c r="E210">
        <v>28.49</v>
      </c>
      <c r="F210">
        <v>23.12</v>
      </c>
      <c r="G210">
        <v>33.159999999999997</v>
      </c>
      <c r="H210">
        <v>86</v>
      </c>
      <c r="I210">
        <v>11.11</v>
      </c>
      <c r="J210">
        <v>100.43</v>
      </c>
      <c r="K210">
        <v>15.29</v>
      </c>
    </row>
    <row r="211" spans="1:11">
      <c r="A211">
        <v>2017</v>
      </c>
      <c r="B211" t="s">
        <v>76</v>
      </c>
      <c r="C211">
        <v>267</v>
      </c>
      <c r="D211">
        <v>0</v>
      </c>
      <c r="E211">
        <v>28.36</v>
      </c>
      <c r="F211">
        <v>25.77</v>
      </c>
      <c r="G211">
        <v>32.29</v>
      </c>
      <c r="H211">
        <v>91.75</v>
      </c>
      <c r="I211">
        <v>23.36</v>
      </c>
      <c r="J211">
        <v>100.04</v>
      </c>
      <c r="K211">
        <v>16.21</v>
      </c>
    </row>
    <row r="212" spans="1:11">
      <c r="A212">
        <v>2017</v>
      </c>
      <c r="B212" t="s">
        <v>78</v>
      </c>
      <c r="C212">
        <v>286</v>
      </c>
      <c r="D212">
        <v>2</v>
      </c>
      <c r="E212">
        <v>28.07</v>
      </c>
      <c r="F212">
        <v>25.35</v>
      </c>
      <c r="G212">
        <v>32.44</v>
      </c>
      <c r="H212">
        <v>91.5</v>
      </c>
      <c r="I212">
        <v>29.37</v>
      </c>
      <c r="J212">
        <v>100.07</v>
      </c>
      <c r="K212">
        <v>11.02</v>
      </c>
    </row>
    <row r="213" spans="1:11">
      <c r="A213">
        <v>2017</v>
      </c>
      <c r="B213" t="s">
        <v>80</v>
      </c>
      <c r="C213">
        <v>346</v>
      </c>
      <c r="D213">
        <v>0</v>
      </c>
      <c r="E213">
        <v>28.29</v>
      </c>
      <c r="F213">
        <v>25.39</v>
      </c>
      <c r="G213">
        <v>32.49</v>
      </c>
      <c r="H213">
        <v>90.44</v>
      </c>
      <c r="I213">
        <v>32.49</v>
      </c>
      <c r="J213">
        <v>100.2</v>
      </c>
      <c r="K213">
        <v>9.58</v>
      </c>
    </row>
    <row r="214" spans="1:11">
      <c r="A214">
        <v>2017</v>
      </c>
      <c r="B214" t="s">
        <v>82</v>
      </c>
      <c r="C214">
        <v>430</v>
      </c>
      <c r="D214">
        <v>1</v>
      </c>
      <c r="E214">
        <v>28.12</v>
      </c>
      <c r="F214">
        <v>25.05</v>
      </c>
      <c r="G214">
        <v>33.26</v>
      </c>
      <c r="H214">
        <v>89.75</v>
      </c>
      <c r="I214">
        <v>19.5</v>
      </c>
      <c r="J214">
        <v>100.48</v>
      </c>
      <c r="K214">
        <v>7.73</v>
      </c>
    </row>
    <row r="215" spans="1:11">
      <c r="A215">
        <v>2017</v>
      </c>
      <c r="B215" t="s">
        <v>84</v>
      </c>
      <c r="C215">
        <v>512</v>
      </c>
      <c r="D215">
        <v>1</v>
      </c>
      <c r="E215">
        <v>26.5</v>
      </c>
      <c r="F215">
        <v>18.399999999999999</v>
      </c>
      <c r="G215">
        <v>32.729999999999997</v>
      </c>
      <c r="H215">
        <v>85.94</v>
      </c>
      <c r="I215">
        <v>14.84</v>
      </c>
      <c r="J215">
        <v>100.76</v>
      </c>
      <c r="K215">
        <v>16.95</v>
      </c>
    </row>
    <row r="216" spans="1:11">
      <c r="A216">
        <v>2017</v>
      </c>
      <c r="B216" t="s">
        <v>86</v>
      </c>
      <c r="C216">
        <v>409</v>
      </c>
      <c r="D216">
        <v>1</v>
      </c>
      <c r="E216">
        <v>22.38</v>
      </c>
      <c r="F216">
        <v>12.99</v>
      </c>
      <c r="G216">
        <v>29.66</v>
      </c>
      <c r="H216">
        <v>81.62</v>
      </c>
      <c r="I216">
        <v>0.53</v>
      </c>
      <c r="J216">
        <v>101.15</v>
      </c>
      <c r="K216">
        <v>6.92</v>
      </c>
    </row>
    <row r="217" spans="1:11">
      <c r="A217">
        <v>2017</v>
      </c>
      <c r="B217" t="s">
        <v>88</v>
      </c>
      <c r="C217">
        <v>126</v>
      </c>
      <c r="D217">
        <v>2</v>
      </c>
      <c r="E217">
        <v>20.010000000000002</v>
      </c>
      <c r="F217">
        <v>13.14</v>
      </c>
      <c r="G217">
        <v>26.42</v>
      </c>
      <c r="H217">
        <v>82.81</v>
      </c>
      <c r="I217">
        <v>4.75</v>
      </c>
      <c r="J217">
        <v>101.39</v>
      </c>
      <c r="K217">
        <v>7.3</v>
      </c>
    </row>
    <row r="218" spans="1:11">
      <c r="A218">
        <v>2018</v>
      </c>
      <c r="B218" t="s">
        <v>62</v>
      </c>
      <c r="C218">
        <v>26</v>
      </c>
      <c r="D218">
        <v>0</v>
      </c>
      <c r="E218">
        <v>15.55</v>
      </c>
      <c r="F218">
        <v>6.54</v>
      </c>
      <c r="G218">
        <v>24.65</v>
      </c>
      <c r="H218">
        <v>74.81</v>
      </c>
      <c r="I218">
        <v>0.08</v>
      </c>
      <c r="J218">
        <v>101.28</v>
      </c>
      <c r="K218">
        <v>6.33</v>
      </c>
    </row>
    <row r="219" spans="1:11">
      <c r="A219">
        <v>2018</v>
      </c>
      <c r="B219" t="s">
        <v>68</v>
      </c>
      <c r="C219">
        <v>7</v>
      </c>
      <c r="D219">
        <v>0</v>
      </c>
      <c r="E219">
        <v>21.48</v>
      </c>
      <c r="F219">
        <v>11.46</v>
      </c>
      <c r="G219">
        <v>32.36</v>
      </c>
      <c r="H219">
        <v>67.69</v>
      </c>
      <c r="I219">
        <v>0.53</v>
      </c>
      <c r="J219">
        <v>101.26</v>
      </c>
      <c r="K219">
        <v>7.86</v>
      </c>
    </row>
    <row r="220" spans="1:11">
      <c r="A220">
        <v>2018</v>
      </c>
      <c r="B220" t="s">
        <v>70</v>
      </c>
      <c r="C220">
        <v>19</v>
      </c>
      <c r="D220">
        <v>0</v>
      </c>
      <c r="E220">
        <v>26.68</v>
      </c>
      <c r="F220">
        <v>15.24</v>
      </c>
      <c r="G220">
        <v>35.29</v>
      </c>
      <c r="H220">
        <v>61.94</v>
      </c>
      <c r="I220">
        <v>1.32</v>
      </c>
      <c r="J220">
        <v>100.91</v>
      </c>
      <c r="K220">
        <v>9.1199999999999992</v>
      </c>
    </row>
    <row r="221" spans="1:11">
      <c r="A221">
        <v>2018</v>
      </c>
      <c r="B221" t="s">
        <v>72</v>
      </c>
      <c r="C221">
        <v>29</v>
      </c>
      <c r="D221">
        <v>0</v>
      </c>
      <c r="E221">
        <v>27.52</v>
      </c>
      <c r="F221">
        <v>20.29</v>
      </c>
      <c r="G221">
        <v>35.450000000000003</v>
      </c>
      <c r="H221">
        <v>76</v>
      </c>
      <c r="I221">
        <v>11.8</v>
      </c>
      <c r="J221">
        <v>100.75</v>
      </c>
      <c r="K221">
        <v>8.8000000000000007</v>
      </c>
    </row>
    <row r="222" spans="1:11">
      <c r="A222">
        <v>2018</v>
      </c>
      <c r="B222" t="s">
        <v>74</v>
      </c>
      <c r="C222">
        <v>52</v>
      </c>
      <c r="D222">
        <v>0</v>
      </c>
      <c r="E222">
        <v>27.8</v>
      </c>
      <c r="F222">
        <v>23.28</v>
      </c>
      <c r="G222">
        <v>33.15</v>
      </c>
      <c r="H222">
        <v>87.75</v>
      </c>
      <c r="I222">
        <v>19.3</v>
      </c>
      <c r="J222">
        <v>100.51</v>
      </c>
      <c r="K222">
        <v>8.91</v>
      </c>
    </row>
    <row r="223" spans="1:11">
      <c r="A223">
        <v>2018</v>
      </c>
      <c r="B223" t="s">
        <v>76</v>
      </c>
      <c r="C223">
        <v>295</v>
      </c>
      <c r="D223">
        <v>3</v>
      </c>
      <c r="E223">
        <v>28.37</v>
      </c>
      <c r="F223">
        <v>24.67</v>
      </c>
      <c r="G223">
        <v>33.049999999999997</v>
      </c>
      <c r="H223">
        <v>90.81</v>
      </c>
      <c r="I223">
        <v>19.05</v>
      </c>
      <c r="J223">
        <v>99.96</v>
      </c>
      <c r="K223">
        <v>12.18</v>
      </c>
    </row>
    <row r="224" spans="1:11">
      <c r="A224">
        <v>2018</v>
      </c>
      <c r="B224" t="s">
        <v>78</v>
      </c>
      <c r="C224">
        <v>946</v>
      </c>
      <c r="D224">
        <v>4</v>
      </c>
      <c r="E224">
        <v>28.5</v>
      </c>
      <c r="F224">
        <v>25.63</v>
      </c>
      <c r="G224">
        <v>34.659999999999997</v>
      </c>
      <c r="H224">
        <v>90.5</v>
      </c>
      <c r="I224">
        <v>19.86</v>
      </c>
      <c r="J224">
        <v>99.86</v>
      </c>
      <c r="K224">
        <v>12.45</v>
      </c>
    </row>
    <row r="225" spans="1:11">
      <c r="A225">
        <v>2018</v>
      </c>
      <c r="B225" t="s">
        <v>80</v>
      </c>
      <c r="C225">
        <v>1796</v>
      </c>
      <c r="D225">
        <v>6</v>
      </c>
      <c r="E225">
        <v>28.37</v>
      </c>
      <c r="F225">
        <v>25.5</v>
      </c>
      <c r="G225">
        <v>32.24</v>
      </c>
      <c r="H225">
        <v>90.31</v>
      </c>
      <c r="I225">
        <v>9.9499999999999993</v>
      </c>
      <c r="J225">
        <v>99.95</v>
      </c>
      <c r="K225">
        <v>10.27</v>
      </c>
    </row>
    <row r="226" spans="1:11">
      <c r="A226">
        <v>2018</v>
      </c>
      <c r="B226" t="s">
        <v>82</v>
      </c>
      <c r="C226">
        <v>3087</v>
      </c>
      <c r="D226">
        <v>4</v>
      </c>
      <c r="E226">
        <v>28.21</v>
      </c>
      <c r="F226">
        <v>24.78</v>
      </c>
      <c r="G226">
        <v>32.979999999999997</v>
      </c>
      <c r="H226">
        <v>87.19</v>
      </c>
      <c r="I226">
        <v>5.77</v>
      </c>
      <c r="J226">
        <v>100.52</v>
      </c>
      <c r="K226">
        <v>11.55</v>
      </c>
    </row>
    <row r="227" spans="1:11">
      <c r="A227">
        <v>2018</v>
      </c>
      <c r="B227" t="s">
        <v>84</v>
      </c>
      <c r="C227">
        <v>2406</v>
      </c>
      <c r="D227">
        <v>6</v>
      </c>
      <c r="E227">
        <v>25.94</v>
      </c>
      <c r="F227">
        <v>18.190000000000001</v>
      </c>
      <c r="G227">
        <v>32.619999999999997</v>
      </c>
      <c r="H227">
        <v>78.75</v>
      </c>
      <c r="I227">
        <v>2.02</v>
      </c>
      <c r="J227">
        <v>101.06</v>
      </c>
      <c r="K227">
        <v>7.84</v>
      </c>
    </row>
    <row r="228" spans="1:11">
      <c r="A228">
        <v>2018</v>
      </c>
      <c r="B228" t="s">
        <v>86</v>
      </c>
      <c r="C228">
        <v>1192</v>
      </c>
      <c r="D228">
        <v>2</v>
      </c>
      <c r="E228">
        <v>23.19</v>
      </c>
      <c r="F228">
        <v>14.83</v>
      </c>
      <c r="G228">
        <v>30.68</v>
      </c>
      <c r="H228">
        <v>71.88</v>
      </c>
      <c r="I228">
        <v>0.78</v>
      </c>
      <c r="J228">
        <v>101.3</v>
      </c>
      <c r="K228">
        <v>6.36</v>
      </c>
    </row>
    <row r="229" spans="1:11">
      <c r="A229">
        <v>2018</v>
      </c>
      <c r="B229" t="s">
        <v>88</v>
      </c>
      <c r="C229">
        <v>293</v>
      </c>
      <c r="D229">
        <v>1</v>
      </c>
      <c r="E229">
        <v>19.03</v>
      </c>
      <c r="F229">
        <v>7.17</v>
      </c>
      <c r="G229">
        <v>27.9</v>
      </c>
      <c r="H229">
        <v>68.81</v>
      </c>
      <c r="I229">
        <v>1.06</v>
      </c>
      <c r="J229">
        <v>101.42</v>
      </c>
      <c r="K229">
        <v>8.02</v>
      </c>
    </row>
    <row r="230" spans="1:11">
      <c r="A230">
        <v>2019</v>
      </c>
      <c r="B230" t="s">
        <v>62</v>
      </c>
      <c r="C230">
        <v>38</v>
      </c>
      <c r="D230">
        <v>0</v>
      </c>
      <c r="E230">
        <v>19.04</v>
      </c>
      <c r="F230">
        <v>9.06</v>
      </c>
      <c r="G230">
        <v>30.24</v>
      </c>
      <c r="H230">
        <v>57.31</v>
      </c>
      <c r="I230">
        <v>0</v>
      </c>
      <c r="J230">
        <v>101.53</v>
      </c>
      <c r="K230">
        <v>7.71</v>
      </c>
    </row>
    <row r="231" spans="1:11">
      <c r="A231">
        <v>2019</v>
      </c>
      <c r="B231" t="s">
        <v>68</v>
      </c>
      <c r="C231">
        <v>18</v>
      </c>
      <c r="D231">
        <v>0</v>
      </c>
      <c r="E231">
        <v>22.07</v>
      </c>
      <c r="F231">
        <v>10.65</v>
      </c>
      <c r="G231">
        <v>32.81</v>
      </c>
      <c r="H231">
        <v>56.31</v>
      </c>
      <c r="I231">
        <v>3.8</v>
      </c>
      <c r="J231">
        <v>101.34</v>
      </c>
      <c r="K231">
        <v>8</v>
      </c>
    </row>
    <row r="232" spans="1:11">
      <c r="A232">
        <v>2019</v>
      </c>
      <c r="B232" t="s">
        <v>70</v>
      </c>
      <c r="C232">
        <v>17</v>
      </c>
      <c r="D232">
        <v>0</v>
      </c>
      <c r="E232">
        <v>25.64</v>
      </c>
      <c r="F232">
        <v>10.55</v>
      </c>
      <c r="G232">
        <v>36.01</v>
      </c>
      <c r="H232">
        <v>61.44</v>
      </c>
      <c r="I232">
        <v>2.2799999999999998</v>
      </c>
      <c r="J232">
        <v>101.05</v>
      </c>
      <c r="K232">
        <v>10.81</v>
      </c>
    </row>
    <row r="233" spans="1:11">
      <c r="A233">
        <v>2019</v>
      </c>
      <c r="B233" t="s">
        <v>72</v>
      </c>
      <c r="C233">
        <v>58</v>
      </c>
      <c r="D233">
        <v>2</v>
      </c>
      <c r="E233">
        <v>29.35</v>
      </c>
      <c r="F233">
        <v>21.85</v>
      </c>
      <c r="G233">
        <v>40.49</v>
      </c>
      <c r="H233">
        <v>67.38</v>
      </c>
      <c r="I233">
        <v>2.93</v>
      </c>
      <c r="J233">
        <v>100.72</v>
      </c>
      <c r="K233">
        <v>12.37</v>
      </c>
    </row>
    <row r="234" spans="1:11">
      <c r="A234">
        <v>2019</v>
      </c>
      <c r="B234" t="s">
        <v>74</v>
      </c>
      <c r="C234">
        <v>193</v>
      </c>
      <c r="D234">
        <v>0</v>
      </c>
      <c r="E234">
        <v>29.9</v>
      </c>
      <c r="F234">
        <v>22.65</v>
      </c>
      <c r="G234">
        <v>39.049999999999997</v>
      </c>
      <c r="H234">
        <v>78.88</v>
      </c>
      <c r="I234">
        <v>11.45</v>
      </c>
      <c r="J234">
        <v>100.41</v>
      </c>
      <c r="K234">
        <v>16.2</v>
      </c>
    </row>
    <row r="235" spans="1:11">
      <c r="A235">
        <v>2019</v>
      </c>
      <c r="B235" t="s">
        <v>76</v>
      </c>
      <c r="C235">
        <v>1884</v>
      </c>
      <c r="D235">
        <v>6</v>
      </c>
      <c r="E235">
        <v>28.96</v>
      </c>
      <c r="F235">
        <v>24.76</v>
      </c>
      <c r="G235">
        <v>34.33</v>
      </c>
      <c r="H235">
        <v>88.25</v>
      </c>
      <c r="I235">
        <v>11.31</v>
      </c>
      <c r="J235">
        <v>100.1</v>
      </c>
      <c r="K235">
        <v>9.6199999999999992</v>
      </c>
    </row>
    <row r="236" spans="1:11">
      <c r="A236">
        <v>2019</v>
      </c>
      <c r="B236" t="s">
        <v>78</v>
      </c>
      <c r="C236">
        <v>16253</v>
      </c>
      <c r="D236">
        <v>35</v>
      </c>
      <c r="E236">
        <v>28.5</v>
      </c>
      <c r="F236">
        <v>25.38</v>
      </c>
      <c r="G236">
        <v>32.96</v>
      </c>
      <c r="H236">
        <v>90.5</v>
      </c>
      <c r="I236">
        <v>24.03</v>
      </c>
      <c r="J236">
        <v>100.04</v>
      </c>
      <c r="K236">
        <v>11.98</v>
      </c>
    </row>
    <row r="237" spans="1:11">
      <c r="A237">
        <v>2019</v>
      </c>
      <c r="B237" t="s">
        <v>80</v>
      </c>
      <c r="C237">
        <v>52636</v>
      </c>
      <c r="D237">
        <v>83</v>
      </c>
      <c r="E237">
        <v>28.52</v>
      </c>
      <c r="F237">
        <v>25.23</v>
      </c>
      <c r="G237">
        <v>33.06</v>
      </c>
      <c r="H237">
        <v>89.25</v>
      </c>
      <c r="I237">
        <v>17.5</v>
      </c>
      <c r="J237">
        <v>100.06</v>
      </c>
      <c r="K237">
        <v>12.06</v>
      </c>
    </row>
    <row r="238" spans="1:11">
      <c r="A238">
        <v>2019</v>
      </c>
      <c r="B238" t="s">
        <v>82</v>
      </c>
      <c r="C238">
        <v>16856</v>
      </c>
      <c r="D238">
        <v>27</v>
      </c>
      <c r="E238">
        <v>28.12</v>
      </c>
      <c r="F238">
        <v>23.24</v>
      </c>
      <c r="G238">
        <v>33.619999999999997</v>
      </c>
      <c r="H238">
        <v>87.94</v>
      </c>
      <c r="I238">
        <v>11.95</v>
      </c>
      <c r="J238">
        <v>100.61</v>
      </c>
      <c r="K238">
        <v>9.84</v>
      </c>
    </row>
    <row r="239" spans="1:11">
      <c r="A239">
        <v>2019</v>
      </c>
      <c r="B239" t="s">
        <v>84</v>
      </c>
      <c r="C239">
        <v>8113</v>
      </c>
      <c r="D239">
        <v>11</v>
      </c>
      <c r="E239">
        <v>26.2</v>
      </c>
      <c r="F239">
        <v>19.5</v>
      </c>
      <c r="G239">
        <v>31.29</v>
      </c>
      <c r="H239">
        <v>86.19</v>
      </c>
      <c r="I239">
        <v>7.86</v>
      </c>
      <c r="J239">
        <v>101.01</v>
      </c>
      <c r="K239">
        <v>7.2</v>
      </c>
    </row>
    <row r="240" spans="1:11">
      <c r="A240">
        <v>2019</v>
      </c>
      <c r="B240" t="s">
        <v>86</v>
      </c>
      <c r="C240">
        <v>4011</v>
      </c>
      <c r="D240">
        <v>2</v>
      </c>
      <c r="E240">
        <v>23.6</v>
      </c>
      <c r="F240">
        <v>16.53</v>
      </c>
      <c r="G240">
        <v>30.07</v>
      </c>
      <c r="H240">
        <v>82</v>
      </c>
      <c r="I240">
        <v>4.47</v>
      </c>
      <c r="J240">
        <v>101.17</v>
      </c>
      <c r="K240">
        <v>9.2100000000000009</v>
      </c>
    </row>
    <row r="241" spans="1:11">
      <c r="A241">
        <v>2019</v>
      </c>
      <c r="B241" t="s">
        <v>88</v>
      </c>
      <c r="C241">
        <v>1247</v>
      </c>
      <c r="D241">
        <v>0</v>
      </c>
      <c r="E241">
        <v>18.010000000000002</v>
      </c>
      <c r="F241">
        <v>8.36</v>
      </c>
      <c r="G241">
        <v>27.2</v>
      </c>
      <c r="H241">
        <v>82.19</v>
      </c>
      <c r="I241">
        <v>0.56000000000000005</v>
      </c>
      <c r="J241">
        <v>101.55</v>
      </c>
      <c r="K241">
        <v>7.34</v>
      </c>
    </row>
    <row r="242" spans="1:11">
      <c r="A242">
        <v>2020</v>
      </c>
      <c r="B242" t="s">
        <v>62</v>
      </c>
      <c r="C242">
        <v>111</v>
      </c>
      <c r="D242">
        <v>0</v>
      </c>
      <c r="E242">
        <v>16.95</v>
      </c>
      <c r="F242">
        <v>8.39</v>
      </c>
      <c r="G242">
        <v>27.28</v>
      </c>
      <c r="H242">
        <v>79.69</v>
      </c>
      <c r="I242">
        <v>2.34</v>
      </c>
      <c r="J242">
        <v>101.51</v>
      </c>
      <c r="K242">
        <v>8</v>
      </c>
    </row>
    <row r="243" spans="1:11">
      <c r="A243">
        <v>2020</v>
      </c>
      <c r="B243" t="s">
        <v>68</v>
      </c>
      <c r="C243">
        <v>45</v>
      </c>
      <c r="D243">
        <v>0</v>
      </c>
      <c r="E243">
        <v>19.420000000000002</v>
      </c>
      <c r="F243">
        <v>8.73</v>
      </c>
      <c r="G243">
        <v>30.58</v>
      </c>
      <c r="H243">
        <v>66.31</v>
      </c>
      <c r="I243">
        <v>0.09</v>
      </c>
      <c r="J243">
        <v>101.49</v>
      </c>
      <c r="K243">
        <v>7.02</v>
      </c>
    </row>
    <row r="244" spans="1:11">
      <c r="A244">
        <v>2020</v>
      </c>
      <c r="B244" t="s">
        <v>70</v>
      </c>
      <c r="C244">
        <v>27</v>
      </c>
      <c r="D244">
        <v>0</v>
      </c>
      <c r="E244">
        <v>25.44</v>
      </c>
      <c r="F244">
        <v>17.149999999999999</v>
      </c>
      <c r="G244">
        <v>37.22</v>
      </c>
      <c r="H244">
        <v>59.19</v>
      </c>
      <c r="I244">
        <v>2.0699999999999998</v>
      </c>
      <c r="J244">
        <v>101.07</v>
      </c>
      <c r="K244">
        <v>9.42</v>
      </c>
    </row>
    <row r="245" spans="1:11">
      <c r="A245">
        <v>2020</v>
      </c>
      <c r="B245" t="s">
        <v>72</v>
      </c>
      <c r="C245">
        <v>25</v>
      </c>
      <c r="D245">
        <v>0</v>
      </c>
      <c r="E245">
        <v>28.01</v>
      </c>
      <c r="F245">
        <v>21.49</v>
      </c>
      <c r="G245">
        <v>37.94</v>
      </c>
      <c r="H245">
        <v>71.69</v>
      </c>
      <c r="I245">
        <v>9.75</v>
      </c>
      <c r="J245">
        <v>100.89</v>
      </c>
      <c r="K245">
        <v>9.3000000000000007</v>
      </c>
    </row>
    <row r="246" spans="1:11">
      <c r="A246">
        <v>2020</v>
      </c>
      <c r="B246" t="s">
        <v>74</v>
      </c>
      <c r="C246">
        <v>10</v>
      </c>
      <c r="D246">
        <v>3</v>
      </c>
      <c r="E246">
        <v>28.51</v>
      </c>
      <c r="F246">
        <v>22.94</v>
      </c>
      <c r="G246">
        <v>33.64</v>
      </c>
      <c r="H246">
        <v>82.56</v>
      </c>
      <c r="I246">
        <v>15.13</v>
      </c>
      <c r="J246">
        <v>100.5</v>
      </c>
      <c r="K246">
        <v>20.59</v>
      </c>
    </row>
    <row r="247" spans="1:11">
      <c r="A247">
        <v>2020</v>
      </c>
      <c r="B247" t="s">
        <v>76</v>
      </c>
      <c r="C247">
        <v>23</v>
      </c>
      <c r="D247">
        <v>0</v>
      </c>
      <c r="E247">
        <v>28.47</v>
      </c>
      <c r="F247">
        <v>25.78</v>
      </c>
      <c r="G247">
        <v>32.06</v>
      </c>
      <c r="H247">
        <v>90.44</v>
      </c>
      <c r="I247">
        <v>14.07</v>
      </c>
      <c r="J247">
        <v>100.22</v>
      </c>
      <c r="K247">
        <v>10.44</v>
      </c>
    </row>
    <row r="248" spans="1:11">
      <c r="A248">
        <v>2020</v>
      </c>
      <c r="B248" t="s">
        <v>78</v>
      </c>
      <c r="C248">
        <v>68</v>
      </c>
      <c r="D248">
        <v>0</v>
      </c>
      <c r="E248">
        <v>28.61</v>
      </c>
      <c r="F248">
        <v>25.59</v>
      </c>
      <c r="G248">
        <v>32.369999999999997</v>
      </c>
      <c r="H248">
        <v>90.44</v>
      </c>
      <c r="I248">
        <v>13.53</v>
      </c>
      <c r="J248">
        <v>100.21</v>
      </c>
      <c r="K248">
        <v>9.7899999999999991</v>
      </c>
    </row>
    <row r="249" spans="1:11">
      <c r="A249">
        <v>2020</v>
      </c>
      <c r="B249" t="s">
        <v>80</v>
      </c>
      <c r="C249">
        <v>163</v>
      </c>
      <c r="D249">
        <v>0</v>
      </c>
      <c r="E249">
        <v>28.4</v>
      </c>
      <c r="F249">
        <v>25.21</v>
      </c>
      <c r="G249">
        <v>33.840000000000003</v>
      </c>
      <c r="H249">
        <v>90.19</v>
      </c>
      <c r="I249">
        <v>12.2</v>
      </c>
      <c r="J249">
        <v>100.03</v>
      </c>
      <c r="K249">
        <v>14.82</v>
      </c>
    </row>
    <row r="250" spans="1:11">
      <c r="A250">
        <v>2020</v>
      </c>
      <c r="B250" t="s">
        <v>82</v>
      </c>
      <c r="C250">
        <v>47</v>
      </c>
      <c r="D250">
        <v>0</v>
      </c>
      <c r="E250">
        <v>28.49</v>
      </c>
      <c r="F250">
        <v>24.94</v>
      </c>
      <c r="G250">
        <v>33.74</v>
      </c>
      <c r="H250">
        <v>89.06</v>
      </c>
      <c r="I250">
        <v>11.73</v>
      </c>
      <c r="J250">
        <v>100.39</v>
      </c>
      <c r="K250">
        <v>12.25</v>
      </c>
    </row>
    <row r="251" spans="1:11">
      <c r="A251">
        <v>2020</v>
      </c>
      <c r="B251" t="s">
        <v>84</v>
      </c>
      <c r="C251">
        <v>109</v>
      </c>
      <c r="D251">
        <v>0</v>
      </c>
      <c r="E251">
        <v>27.81</v>
      </c>
      <c r="F251">
        <v>21.66</v>
      </c>
      <c r="G251">
        <v>33.26</v>
      </c>
      <c r="H251">
        <v>86.81</v>
      </c>
      <c r="I251">
        <v>13.05</v>
      </c>
      <c r="J251">
        <v>100.59</v>
      </c>
      <c r="K251">
        <v>11.2</v>
      </c>
    </row>
    <row r="252" spans="1:11">
      <c r="A252">
        <v>2020</v>
      </c>
      <c r="B252" t="s">
        <v>86</v>
      </c>
      <c r="C252">
        <v>546</v>
      </c>
      <c r="D252">
        <v>0</v>
      </c>
      <c r="E252">
        <v>22.84</v>
      </c>
      <c r="F252">
        <v>12.62</v>
      </c>
      <c r="G252">
        <v>30.51</v>
      </c>
      <c r="H252">
        <v>82.5</v>
      </c>
      <c r="I252">
        <v>1.49</v>
      </c>
      <c r="J252">
        <v>101.3</v>
      </c>
      <c r="K252">
        <v>6.36</v>
      </c>
    </row>
    <row r="253" spans="1:11">
      <c r="A253">
        <v>2020</v>
      </c>
      <c r="B253" t="s">
        <v>88</v>
      </c>
      <c r="C253">
        <v>19</v>
      </c>
      <c r="D253">
        <v>0</v>
      </c>
      <c r="E253">
        <v>18.23</v>
      </c>
      <c r="F253">
        <v>7.73</v>
      </c>
      <c r="G253">
        <v>26.9</v>
      </c>
      <c r="H253">
        <v>82.5</v>
      </c>
      <c r="I253">
        <v>7.0000000000000007E-2</v>
      </c>
      <c r="J253">
        <v>101.38</v>
      </c>
      <c r="K253">
        <v>6.18</v>
      </c>
    </row>
    <row r="254" spans="1:11">
      <c r="A254">
        <v>2021</v>
      </c>
      <c r="B254" t="s">
        <v>62</v>
      </c>
      <c r="C254">
        <v>32</v>
      </c>
      <c r="D254">
        <v>0</v>
      </c>
      <c r="E254">
        <v>17.579999999999998</v>
      </c>
      <c r="F254">
        <v>7.58</v>
      </c>
      <c r="G254">
        <v>27.62</v>
      </c>
      <c r="H254">
        <v>75.81</v>
      </c>
      <c r="I254">
        <v>0.17</v>
      </c>
      <c r="J254">
        <v>101.33</v>
      </c>
      <c r="K254">
        <v>6.59</v>
      </c>
    </row>
    <row r="255" spans="1:11">
      <c r="A255">
        <v>2021</v>
      </c>
      <c r="B255" t="s">
        <v>68</v>
      </c>
      <c r="C255">
        <v>9</v>
      </c>
      <c r="D255">
        <v>0</v>
      </c>
      <c r="E255">
        <v>20.91</v>
      </c>
      <c r="F255">
        <v>7.99</v>
      </c>
      <c r="G255">
        <v>34.07</v>
      </c>
      <c r="H255">
        <v>59.44</v>
      </c>
      <c r="I255">
        <v>0</v>
      </c>
      <c r="J255">
        <v>101.25</v>
      </c>
      <c r="K255">
        <v>8.3000000000000007</v>
      </c>
    </row>
    <row r="256" spans="1:11">
      <c r="A256">
        <v>2021</v>
      </c>
      <c r="B256" t="s">
        <v>70</v>
      </c>
      <c r="C256">
        <v>13</v>
      </c>
      <c r="D256">
        <v>0</v>
      </c>
      <c r="E256">
        <v>28.02</v>
      </c>
      <c r="F256">
        <v>16.23</v>
      </c>
      <c r="G256">
        <v>39.270000000000003</v>
      </c>
      <c r="H256">
        <v>54.31</v>
      </c>
      <c r="I256">
        <v>0.17</v>
      </c>
      <c r="J256">
        <v>100.88</v>
      </c>
      <c r="K256">
        <v>10.48</v>
      </c>
    </row>
    <row r="257" spans="1:11">
      <c r="A257">
        <v>2021</v>
      </c>
      <c r="B257" t="s">
        <v>72</v>
      </c>
      <c r="C257">
        <v>3</v>
      </c>
      <c r="D257">
        <v>0</v>
      </c>
      <c r="E257">
        <v>30.94</v>
      </c>
      <c r="F257">
        <v>21.54</v>
      </c>
      <c r="G257">
        <v>40.22</v>
      </c>
      <c r="H257">
        <v>53.94</v>
      </c>
      <c r="I257">
        <v>1.5</v>
      </c>
      <c r="J257">
        <v>100.73</v>
      </c>
      <c r="K257">
        <v>10.14</v>
      </c>
    </row>
    <row r="258" spans="1:11">
      <c r="A258">
        <v>2021</v>
      </c>
      <c r="B258" t="s">
        <v>74</v>
      </c>
      <c r="C258">
        <v>43</v>
      </c>
      <c r="D258">
        <v>0</v>
      </c>
      <c r="E258">
        <v>30.1</v>
      </c>
      <c r="F258">
        <v>22.84</v>
      </c>
      <c r="G258">
        <v>38.369999999999997</v>
      </c>
      <c r="H258">
        <v>71.56</v>
      </c>
      <c r="I258">
        <v>9.49</v>
      </c>
      <c r="J258">
        <v>100.46</v>
      </c>
      <c r="K258">
        <v>15.02</v>
      </c>
    </row>
    <row r="259" spans="1:11">
      <c r="A259">
        <v>2021</v>
      </c>
      <c r="B259" t="s">
        <v>76</v>
      </c>
      <c r="C259">
        <v>272</v>
      </c>
      <c r="D259">
        <v>0</v>
      </c>
      <c r="E259">
        <v>28.35</v>
      </c>
      <c r="F259">
        <v>24.17</v>
      </c>
      <c r="G259">
        <v>32.36</v>
      </c>
      <c r="H259">
        <v>88.88</v>
      </c>
      <c r="I259">
        <v>16.7</v>
      </c>
      <c r="J259">
        <v>100.15</v>
      </c>
      <c r="K259">
        <v>10.56</v>
      </c>
    </row>
    <row r="260" spans="1:11">
      <c r="A260">
        <v>2021</v>
      </c>
      <c r="B260" t="s">
        <v>78</v>
      </c>
      <c r="C260">
        <v>2286</v>
      </c>
      <c r="D260">
        <v>12</v>
      </c>
      <c r="E260">
        <v>28.62</v>
      </c>
      <c r="F260">
        <v>25.87</v>
      </c>
      <c r="G260">
        <v>33.18</v>
      </c>
      <c r="H260">
        <v>88.94</v>
      </c>
      <c r="I260">
        <v>14</v>
      </c>
      <c r="J260">
        <v>100.04</v>
      </c>
      <c r="K260">
        <v>17.12</v>
      </c>
    </row>
    <row r="261" spans="1:11">
      <c r="A261">
        <v>2021</v>
      </c>
      <c r="B261" t="s">
        <v>80</v>
      </c>
      <c r="C261">
        <v>7698</v>
      </c>
      <c r="D261">
        <v>34</v>
      </c>
      <c r="E261">
        <v>28.27</v>
      </c>
      <c r="F261">
        <v>25.08</v>
      </c>
      <c r="G261">
        <v>33.74</v>
      </c>
      <c r="H261">
        <v>90.38</v>
      </c>
      <c r="I261">
        <v>12.61</v>
      </c>
      <c r="J261">
        <v>100.27</v>
      </c>
      <c r="K261">
        <v>11.58</v>
      </c>
    </row>
    <row r="262" spans="1:11">
      <c r="A262">
        <v>2021</v>
      </c>
      <c r="B262" t="s">
        <v>82</v>
      </c>
      <c r="C262">
        <v>7841</v>
      </c>
      <c r="D262">
        <v>23</v>
      </c>
      <c r="E262">
        <v>27.8</v>
      </c>
      <c r="F262">
        <v>23.69</v>
      </c>
      <c r="G262">
        <v>33.26</v>
      </c>
      <c r="H262">
        <v>88.56</v>
      </c>
      <c r="I262">
        <v>9.2200000000000006</v>
      </c>
      <c r="J262">
        <v>100.49</v>
      </c>
      <c r="K262">
        <v>11.57</v>
      </c>
    </row>
    <row r="263" spans="1:11">
      <c r="A263">
        <v>2021</v>
      </c>
      <c r="B263" t="s">
        <v>84</v>
      </c>
      <c r="C263">
        <v>5458</v>
      </c>
      <c r="D263">
        <v>22</v>
      </c>
      <c r="E263">
        <v>26.94</v>
      </c>
      <c r="F263">
        <v>18.05</v>
      </c>
      <c r="G263">
        <v>32.5</v>
      </c>
      <c r="H263">
        <v>84.31</v>
      </c>
      <c r="I263">
        <v>6.58</v>
      </c>
      <c r="J263">
        <v>100.77</v>
      </c>
      <c r="K263">
        <v>8.9</v>
      </c>
    </row>
    <row r="264" spans="1:11">
      <c r="A264">
        <v>2021</v>
      </c>
      <c r="B264" t="s">
        <v>86</v>
      </c>
      <c r="C264">
        <v>3567</v>
      </c>
      <c r="D264">
        <v>7</v>
      </c>
      <c r="E264">
        <v>21.72</v>
      </c>
      <c r="F264">
        <v>12.76</v>
      </c>
      <c r="G264">
        <v>28.12</v>
      </c>
      <c r="H264">
        <v>81.25</v>
      </c>
      <c r="I264">
        <v>24.95</v>
      </c>
      <c r="J264">
        <v>101.17</v>
      </c>
      <c r="K264">
        <v>6.75</v>
      </c>
    </row>
    <row r="265" spans="1:11">
      <c r="A265">
        <v>2021</v>
      </c>
      <c r="B265" t="s">
        <v>88</v>
      </c>
      <c r="C265">
        <v>1207</v>
      </c>
      <c r="D265">
        <v>7</v>
      </c>
      <c r="E265">
        <v>18.72</v>
      </c>
      <c r="F265">
        <v>8.94</v>
      </c>
      <c r="G265">
        <v>27.87</v>
      </c>
      <c r="H265">
        <v>82.75</v>
      </c>
      <c r="I265">
        <v>131.03</v>
      </c>
      <c r="J265">
        <v>101.52</v>
      </c>
      <c r="K265">
        <v>9.85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0" customWidth="1"/>
    <col min="2" max="2" width="42" customWidth="1"/>
    <col min="3" max="3" width="23" customWidth="1"/>
    <col min="4" max="4" width="30" customWidth="1"/>
    <col min="5" max="5" width="89" customWidth="1"/>
  </cols>
  <sheetData>
    <row r="1" spans="1:5" ht="28" customHeight="1">
      <c r="A1" s="5" t="s">
        <v>413</v>
      </c>
      <c r="B1" s="5" t="s">
        <v>414</v>
      </c>
      <c r="C1" s="5" t="s">
        <v>415</v>
      </c>
      <c r="D1" s="5" t="s">
        <v>416</v>
      </c>
      <c r="E1" s="5" t="s">
        <v>417</v>
      </c>
    </row>
    <row r="2" spans="1:5" ht="31" customHeight="1">
      <c r="A2" t="s">
        <v>41</v>
      </c>
      <c r="B2" t="s">
        <v>418</v>
      </c>
      <c r="C2" t="s">
        <v>419</v>
      </c>
      <c r="D2" t="s">
        <v>420</v>
      </c>
      <c r="E2" s="3" t="s">
        <v>421</v>
      </c>
    </row>
    <row r="3" spans="1:5" ht="31" customHeight="1">
      <c r="A3" t="s">
        <v>42</v>
      </c>
      <c r="B3" t="s">
        <v>422</v>
      </c>
      <c r="C3" t="s">
        <v>423</v>
      </c>
      <c r="D3" t="s">
        <v>420</v>
      </c>
      <c r="E3" s="3" t="s">
        <v>421</v>
      </c>
    </row>
    <row r="4" spans="1:5" ht="31" customHeight="1">
      <c r="A4" t="s">
        <v>43</v>
      </c>
      <c r="B4" t="s">
        <v>424</v>
      </c>
      <c r="C4" t="s">
        <v>425</v>
      </c>
      <c r="D4" t="s">
        <v>420</v>
      </c>
      <c r="E4" s="3" t="s">
        <v>421</v>
      </c>
    </row>
    <row r="5" spans="1:5" ht="31" customHeight="1">
      <c r="A5" t="s">
        <v>44</v>
      </c>
      <c r="B5" t="s">
        <v>426</v>
      </c>
      <c r="C5" t="s">
        <v>427</v>
      </c>
      <c r="D5" t="s">
        <v>420</v>
      </c>
      <c r="E5" s="3" t="s">
        <v>421</v>
      </c>
    </row>
    <row r="6" spans="1:5" ht="31" customHeight="1">
      <c r="A6" t="s">
        <v>45</v>
      </c>
      <c r="B6" t="s">
        <v>428</v>
      </c>
      <c r="C6" t="s">
        <v>429</v>
      </c>
      <c r="D6" t="s">
        <v>420</v>
      </c>
      <c r="E6" s="3" t="s">
        <v>430</v>
      </c>
    </row>
    <row r="7" spans="1:5" ht="31" customHeight="1">
      <c r="A7" t="s">
        <v>46</v>
      </c>
      <c r="B7" t="s">
        <v>431</v>
      </c>
      <c r="C7" t="s">
        <v>432</v>
      </c>
      <c r="D7" t="s">
        <v>433</v>
      </c>
      <c r="E7" s="3" t="s">
        <v>434</v>
      </c>
    </row>
    <row r="8" spans="1:5" ht="31" customHeight="1">
      <c r="A8" t="s">
        <v>47</v>
      </c>
      <c r="B8" t="s">
        <v>435</v>
      </c>
      <c r="C8" t="s">
        <v>436</v>
      </c>
      <c r="D8" t="s">
        <v>420</v>
      </c>
      <c r="E8" s="3" t="s">
        <v>437</v>
      </c>
    </row>
    <row r="9" spans="1:5" ht="31" customHeight="1">
      <c r="A9" t="s">
        <v>48</v>
      </c>
      <c r="B9" t="s">
        <v>438</v>
      </c>
      <c r="C9" t="s">
        <v>436</v>
      </c>
      <c r="D9" t="s">
        <v>420</v>
      </c>
      <c r="E9" s="3" t="s">
        <v>439</v>
      </c>
    </row>
    <row r="10" spans="1:5" ht="31" customHeight="1">
      <c r="A10" t="s">
        <v>49</v>
      </c>
      <c r="B10" t="s">
        <v>440</v>
      </c>
      <c r="C10" t="s">
        <v>436</v>
      </c>
      <c r="D10" t="s">
        <v>420</v>
      </c>
      <c r="E10" s="3" t="s">
        <v>439</v>
      </c>
    </row>
    <row r="11" spans="1:5" ht="31" customHeight="1">
      <c r="A11" t="s">
        <v>50</v>
      </c>
      <c r="B11" t="s">
        <v>441</v>
      </c>
      <c r="C11" t="s">
        <v>442</v>
      </c>
      <c r="D11" t="s">
        <v>420</v>
      </c>
      <c r="E11" s="3" t="s">
        <v>437</v>
      </c>
    </row>
    <row r="12" spans="1:5" ht="31" customHeight="1">
      <c r="A12" t="s">
        <v>51</v>
      </c>
      <c r="B12" t="s">
        <v>443</v>
      </c>
      <c r="C12" t="s">
        <v>444</v>
      </c>
      <c r="D12" t="s">
        <v>420</v>
      </c>
      <c r="E12" s="3" t="s">
        <v>437</v>
      </c>
    </row>
    <row r="13" spans="1:5" ht="31" customHeight="1">
      <c r="A13" t="s">
        <v>52</v>
      </c>
      <c r="B13" t="s">
        <v>445</v>
      </c>
      <c r="C13" t="s">
        <v>446</v>
      </c>
      <c r="D13" t="s">
        <v>420</v>
      </c>
      <c r="E13" s="3" t="s">
        <v>447</v>
      </c>
    </row>
    <row r="14" spans="1:5" ht="31" customHeight="1">
      <c r="A14" t="s">
        <v>53</v>
      </c>
      <c r="B14" t="s">
        <v>448</v>
      </c>
      <c r="C14" t="s">
        <v>449</v>
      </c>
      <c r="D14" t="s">
        <v>420</v>
      </c>
      <c r="E14" s="3" t="s">
        <v>437</v>
      </c>
    </row>
    <row r="15" spans="1:5" ht="31" customHeight="1">
      <c r="A15" t="s">
        <v>54</v>
      </c>
      <c r="B15" t="s">
        <v>450</v>
      </c>
      <c r="C15" t="s">
        <v>451</v>
      </c>
      <c r="D15" t="s">
        <v>420</v>
      </c>
      <c r="E15" s="3" t="s">
        <v>437</v>
      </c>
    </row>
    <row r="16" spans="1:5" ht="31" customHeight="1">
      <c r="A16" t="s">
        <v>55</v>
      </c>
      <c r="B16" t="s">
        <v>452</v>
      </c>
      <c r="C16" t="s">
        <v>453</v>
      </c>
      <c r="D16" t="s">
        <v>420</v>
      </c>
      <c r="E16" s="3" t="s">
        <v>454</v>
      </c>
    </row>
    <row r="17" spans="1:5" ht="31" customHeight="1">
      <c r="A17" t="s">
        <v>56</v>
      </c>
      <c r="B17" t="s">
        <v>455</v>
      </c>
      <c r="C17" t="s">
        <v>451</v>
      </c>
      <c r="D17" t="s">
        <v>420</v>
      </c>
      <c r="E17" s="3" t="s">
        <v>437</v>
      </c>
    </row>
    <row r="18" spans="1:5" ht="31" customHeight="1">
      <c r="A18" t="s">
        <v>57</v>
      </c>
      <c r="B18" t="s">
        <v>456</v>
      </c>
      <c r="C18" t="s">
        <v>457</v>
      </c>
      <c r="D18" t="s">
        <v>420</v>
      </c>
      <c r="E18" s="3" t="s">
        <v>458</v>
      </c>
    </row>
    <row r="19" spans="1:5" ht="31" customHeight="1">
      <c r="A19" t="s">
        <v>58</v>
      </c>
      <c r="B19" t="s">
        <v>459</v>
      </c>
      <c r="C19" t="s">
        <v>460</v>
      </c>
      <c r="D19" t="s">
        <v>420</v>
      </c>
      <c r="E19" s="3" t="s">
        <v>461</v>
      </c>
    </row>
    <row r="20" spans="1:5" ht="31" customHeight="1">
      <c r="A20" t="s">
        <v>59</v>
      </c>
      <c r="B20" t="s">
        <v>462</v>
      </c>
      <c r="C20" t="s">
        <v>460</v>
      </c>
      <c r="D20" t="s">
        <v>420</v>
      </c>
      <c r="E20" s="3" t="s">
        <v>461</v>
      </c>
    </row>
    <row r="21" spans="1:5" ht="31" customHeight="1">
      <c r="A21" t="s">
        <v>60</v>
      </c>
      <c r="B21" t="s">
        <v>463</v>
      </c>
      <c r="C21" t="s">
        <v>457</v>
      </c>
      <c r="D21" t="s">
        <v>420</v>
      </c>
      <c r="E21" s="3" t="s">
        <v>464</v>
      </c>
    </row>
    <row r="22" spans="1:5" ht="31" customHeight="1">
      <c r="A22" t="s">
        <v>61</v>
      </c>
      <c r="B22" t="s">
        <v>465</v>
      </c>
      <c r="C22" t="s">
        <v>457</v>
      </c>
      <c r="D22" t="s">
        <v>420</v>
      </c>
      <c r="E22" s="3" t="s">
        <v>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8" customWidth="1"/>
    <col min="2" max="2" width="52" customWidth="1"/>
    <col min="3" max="3" width="68" customWidth="1"/>
    <col min="4" max="4" width="70" customWidth="1"/>
  </cols>
  <sheetData>
    <row r="1" spans="1:4" ht="28" customHeight="1">
      <c r="A1" s="5" t="s">
        <v>467</v>
      </c>
      <c r="B1" s="5" t="s">
        <v>468</v>
      </c>
      <c r="C1" s="5" t="s">
        <v>469</v>
      </c>
      <c r="D1" s="5" t="s">
        <v>470</v>
      </c>
    </row>
    <row r="2" spans="1:4" ht="34" customHeight="1">
      <c r="A2" s="3" t="s">
        <v>471</v>
      </c>
      <c r="B2" s="3" t="s">
        <v>472</v>
      </c>
      <c r="C2" s="3" t="s">
        <v>473</v>
      </c>
      <c r="D2" s="3" t="s">
        <v>474</v>
      </c>
    </row>
    <row r="3" spans="1:4" ht="34" customHeight="1">
      <c r="A3" s="3" t="s">
        <v>405</v>
      </c>
      <c r="B3" s="3">
        <v>312</v>
      </c>
      <c r="C3" s="3" t="s">
        <v>475</v>
      </c>
      <c r="D3" s="3" t="s">
        <v>476</v>
      </c>
    </row>
    <row r="4" spans="1:4" ht="34" customHeight="1">
      <c r="A4" s="3" t="s">
        <v>477</v>
      </c>
      <c r="B4" s="3">
        <v>10</v>
      </c>
      <c r="C4" s="3" t="s">
        <v>478</v>
      </c>
      <c r="D4" s="3" t="s">
        <v>479</v>
      </c>
    </row>
    <row r="5" spans="1:4" ht="34" customHeight="1">
      <c r="A5" s="3" t="s">
        <v>480</v>
      </c>
      <c r="B5" s="3">
        <v>0</v>
      </c>
      <c r="C5" s="3" t="s">
        <v>481</v>
      </c>
      <c r="D5" s="3" t="s">
        <v>482</v>
      </c>
    </row>
    <row r="6" spans="1:4" ht="34" customHeight="1">
      <c r="A6" s="3" t="s">
        <v>483</v>
      </c>
      <c r="B6" s="3">
        <v>0</v>
      </c>
      <c r="C6" s="3" t="s">
        <v>484</v>
      </c>
      <c r="D6" s="3" t="s">
        <v>485</v>
      </c>
    </row>
    <row r="7" spans="1:4" ht="34" customHeight="1">
      <c r="A7" s="3" t="s">
        <v>486</v>
      </c>
      <c r="B7" s="4">
        <v>0</v>
      </c>
      <c r="C7" s="4" t="s">
        <v>487</v>
      </c>
      <c r="D7" s="3" t="s">
        <v>375</v>
      </c>
    </row>
    <row r="8" spans="1:4" ht="34" customHeight="1">
      <c r="A8" s="3" t="s">
        <v>488</v>
      </c>
      <c r="B8" s="4" t="s">
        <v>489</v>
      </c>
      <c r="C8" s="4" t="s">
        <v>490</v>
      </c>
      <c r="D8" s="3" t="s">
        <v>491</v>
      </c>
    </row>
    <row r="9" spans="1:4" ht="34" customHeight="1">
      <c r="A9" s="3" t="s">
        <v>492</v>
      </c>
      <c r="B9" s="4" t="s">
        <v>493</v>
      </c>
      <c r="C9" s="4" t="s">
        <v>494</v>
      </c>
      <c r="D9" s="3" t="s">
        <v>375</v>
      </c>
    </row>
    <row r="10" spans="1:4" ht="34" customHeight="1">
      <c r="A10" s="3" t="s">
        <v>495</v>
      </c>
      <c r="B10" s="4" t="s">
        <v>496</v>
      </c>
      <c r="C10" s="4" t="s">
        <v>497</v>
      </c>
      <c r="D10" s="3" t="s">
        <v>498</v>
      </c>
    </row>
    <row r="11" spans="1:4" ht="34" customHeight="1">
      <c r="A11" s="3" t="s">
        <v>499</v>
      </c>
      <c r="B11" s="4" t="s">
        <v>500</v>
      </c>
      <c r="C11" s="4" t="s">
        <v>501</v>
      </c>
      <c r="D11" s="3" t="s">
        <v>502</v>
      </c>
    </row>
    <row r="12" spans="1:4" ht="34" customHeight="1">
      <c r="A12" s="3" t="s">
        <v>503</v>
      </c>
      <c r="B12" s="3" t="s">
        <v>504</v>
      </c>
      <c r="C12" s="3" t="s">
        <v>505</v>
      </c>
      <c r="D12" s="3" t="s">
        <v>498</v>
      </c>
    </row>
    <row r="13" spans="1:4" ht="34" customHeight="1">
      <c r="A13" s="3" t="s">
        <v>506</v>
      </c>
      <c r="B13" s="3" t="s">
        <v>507</v>
      </c>
      <c r="C13" s="3" t="s">
        <v>508</v>
      </c>
      <c r="D13" s="3" t="s">
        <v>509</v>
      </c>
    </row>
    <row r="14" spans="1:4" ht="34" customHeight="1">
      <c r="A14" s="3" t="s">
        <v>510</v>
      </c>
      <c r="B14" s="3" t="s">
        <v>511</v>
      </c>
      <c r="C14" s="3" t="s">
        <v>512</v>
      </c>
      <c r="D14" s="3" t="s">
        <v>513</v>
      </c>
    </row>
    <row r="15" spans="1:4" ht="34" customHeight="1">
      <c r="A15" s="3" t="s">
        <v>514</v>
      </c>
      <c r="B15" s="3" t="s">
        <v>515</v>
      </c>
      <c r="C15" s="3" t="s">
        <v>516</v>
      </c>
      <c r="D15" s="3" t="s">
        <v>513</v>
      </c>
    </row>
    <row r="16" spans="1:4" ht="34" customHeight="1">
      <c r="A16" s="3" t="s">
        <v>517</v>
      </c>
      <c r="B16" s="3" t="s">
        <v>518</v>
      </c>
      <c r="C16" s="3" t="s">
        <v>519</v>
      </c>
      <c r="D16" s="3" t="s">
        <v>520</v>
      </c>
    </row>
    <row r="17" spans="1:4" ht="34" customHeight="1">
      <c r="A17" s="3" t="s">
        <v>521</v>
      </c>
      <c r="B17" s="3" t="s">
        <v>522</v>
      </c>
      <c r="C17" s="3" t="s">
        <v>523</v>
      </c>
      <c r="D17" s="3" t="s">
        <v>524</v>
      </c>
    </row>
    <row r="18" spans="1:4" ht="34" customHeight="1">
      <c r="A18" s="3" t="s">
        <v>525</v>
      </c>
      <c r="B18" s="3" t="s">
        <v>38</v>
      </c>
      <c r="C18" s="3" t="s">
        <v>526</v>
      </c>
      <c r="D18" s="3" t="s">
        <v>524</v>
      </c>
    </row>
    <row r="19" spans="1:4" ht="34" customHeight="1">
      <c r="A19" s="3" t="s">
        <v>527</v>
      </c>
      <c r="B19" s="3" t="s">
        <v>40</v>
      </c>
      <c r="C19" s="3" t="s">
        <v>528</v>
      </c>
      <c r="D19" s="3" t="s">
        <v>529</v>
      </c>
    </row>
    <row r="20" spans="1:4">
      <c r="A20" t="s">
        <v>530</v>
      </c>
      <c r="B20" t="s">
        <v>531</v>
      </c>
      <c r="C20" t="s">
        <v>532</v>
      </c>
      <c r="D20" t="s">
        <v>317</v>
      </c>
    </row>
    <row r="21" spans="1:4">
      <c r="A21" t="s">
        <v>533</v>
      </c>
      <c r="B21" t="s">
        <v>534</v>
      </c>
      <c r="C21" t="s">
        <v>535</v>
      </c>
      <c r="D21" t="s">
        <v>536</v>
      </c>
    </row>
    <row r="22" spans="1:4">
      <c r="A22" t="s">
        <v>537</v>
      </c>
      <c r="B22" t="s">
        <v>538</v>
      </c>
      <c r="C22" t="s">
        <v>539</v>
      </c>
      <c r="D22" t="s">
        <v>536</v>
      </c>
    </row>
    <row r="23" spans="1:4">
      <c r="A23" t="s">
        <v>540</v>
      </c>
      <c r="B23" t="s">
        <v>541</v>
      </c>
      <c r="C23" t="s">
        <v>542</v>
      </c>
      <c r="D23" t="s">
        <v>543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0" customWidth="1"/>
    <col min="2" max="4" width="23" customWidth="1"/>
    <col min="5" max="5" width="27" customWidth="1"/>
    <col min="6" max="6" width="65" customWidth="1"/>
  </cols>
  <sheetData>
    <row r="1" spans="1:6" ht="28" customHeight="1">
      <c r="A1" s="8" t="s">
        <v>43</v>
      </c>
      <c r="B1" s="8" t="s">
        <v>544</v>
      </c>
      <c r="C1" s="8" t="s">
        <v>545</v>
      </c>
      <c r="D1" s="8" t="s">
        <v>546</v>
      </c>
      <c r="E1" s="8" t="s">
        <v>547</v>
      </c>
      <c r="F1" s="8" t="s">
        <v>548</v>
      </c>
    </row>
    <row r="2" spans="1:6">
      <c r="A2" t="s">
        <v>62</v>
      </c>
      <c r="B2" s="7">
        <v>1055</v>
      </c>
      <c r="C2" s="11">
        <v>16</v>
      </c>
      <c r="D2" s="7">
        <f>SUM($C$2:C2)</f>
        <v>16</v>
      </c>
      <c r="E2" t="s">
        <v>549</v>
      </c>
      <c r="F2" t="s">
        <v>375</v>
      </c>
    </row>
    <row r="3" spans="1:6">
      <c r="A3" t="s">
        <v>68</v>
      </c>
      <c r="B3" s="7">
        <v>339</v>
      </c>
      <c r="C3" s="11">
        <v>5</v>
      </c>
      <c r="D3" s="7">
        <f>SUM($C$2:C3)</f>
        <v>21</v>
      </c>
      <c r="E3" t="s">
        <v>549</v>
      </c>
      <c r="F3" t="s">
        <v>375</v>
      </c>
    </row>
    <row r="4" spans="1:6">
      <c r="A4" t="s">
        <v>70</v>
      </c>
      <c r="B4" s="7">
        <v>311</v>
      </c>
      <c r="C4" s="11">
        <v>6</v>
      </c>
      <c r="D4" s="7">
        <f>SUM($C$2:C4)</f>
        <v>27</v>
      </c>
      <c r="E4" t="s">
        <v>549</v>
      </c>
      <c r="F4" t="s">
        <v>375</v>
      </c>
    </row>
    <row r="5" spans="1:6">
      <c r="A5" t="s">
        <v>72</v>
      </c>
      <c r="B5" s="7">
        <v>504</v>
      </c>
      <c r="C5" s="11">
        <v>2</v>
      </c>
      <c r="D5" s="7">
        <f>SUM($C$2:C5)</f>
        <v>29</v>
      </c>
      <c r="E5" t="s">
        <v>549</v>
      </c>
      <c r="F5" t="s">
        <v>375</v>
      </c>
    </row>
    <row r="6" spans="1:6">
      <c r="A6" t="s">
        <v>74</v>
      </c>
      <c r="B6" s="7">
        <v>644</v>
      </c>
      <c r="C6" s="11">
        <v>12</v>
      </c>
      <c r="D6" s="7">
        <f>SUM($C$2:C6)</f>
        <v>41</v>
      </c>
      <c r="E6" t="s">
        <v>549</v>
      </c>
      <c r="F6" t="s">
        <v>375</v>
      </c>
    </row>
    <row r="7" spans="1:6">
      <c r="A7" t="s">
        <v>76</v>
      </c>
      <c r="B7" s="7">
        <v>798</v>
      </c>
      <c r="C7" s="11">
        <v>8</v>
      </c>
      <c r="D7" s="7">
        <f>SUM($C$2:C7)</f>
        <v>49</v>
      </c>
      <c r="E7" t="s">
        <v>549</v>
      </c>
      <c r="F7" t="s">
        <v>375</v>
      </c>
    </row>
    <row r="8" spans="1:6">
      <c r="A8" t="s">
        <v>78</v>
      </c>
      <c r="B8" s="7">
        <v>2669</v>
      </c>
      <c r="C8" s="11">
        <v>14</v>
      </c>
      <c r="D8" s="7">
        <f>SUM($C$2:C8)</f>
        <v>63</v>
      </c>
      <c r="E8" t="s">
        <v>549</v>
      </c>
      <c r="F8" t="s">
        <v>375</v>
      </c>
    </row>
    <row r="9" spans="1:6">
      <c r="A9" t="s">
        <v>80</v>
      </c>
      <c r="B9" s="7">
        <v>6521</v>
      </c>
      <c r="C9" s="11">
        <v>30</v>
      </c>
      <c r="D9" s="7">
        <f>SUM($C$2:C9)</f>
        <v>93</v>
      </c>
      <c r="E9" t="s">
        <v>549</v>
      </c>
      <c r="F9" t="s">
        <v>375</v>
      </c>
    </row>
    <row r="10" spans="1:6">
      <c r="A10" t="s">
        <v>82</v>
      </c>
      <c r="B10" s="7">
        <v>18097</v>
      </c>
      <c r="C10" s="11">
        <v>87</v>
      </c>
      <c r="D10" s="7">
        <f>SUM($C$2:C10)</f>
        <v>180</v>
      </c>
      <c r="E10" t="s">
        <v>549</v>
      </c>
      <c r="F10" t="s">
        <v>375</v>
      </c>
    </row>
    <row r="11" spans="1:6">
      <c r="A11" t="s">
        <v>84</v>
      </c>
      <c r="B11" s="7">
        <v>30879</v>
      </c>
      <c r="C11" s="11">
        <v>135</v>
      </c>
      <c r="D11" s="7">
        <f>SUM($C$2:C11)</f>
        <v>315</v>
      </c>
      <c r="E11" t="s">
        <v>549</v>
      </c>
      <c r="F11" t="s">
        <v>375</v>
      </c>
    </row>
    <row r="12" spans="1:6">
      <c r="A12" t="s">
        <v>86</v>
      </c>
      <c r="B12" s="7">
        <v>29652</v>
      </c>
      <c r="C12" s="11">
        <v>173</v>
      </c>
      <c r="D12" s="7">
        <f>SUM($C$2:C12)</f>
        <v>488</v>
      </c>
      <c r="E12" t="s">
        <v>549</v>
      </c>
      <c r="F12" t="s">
        <v>375</v>
      </c>
    </row>
    <row r="13" spans="1:6">
      <c r="A13" t="s">
        <v>88</v>
      </c>
      <c r="B13" s="7">
        <v>9745</v>
      </c>
      <c r="C13" s="11">
        <v>87</v>
      </c>
      <c r="D13" s="7">
        <f>SUM($C$2:C13)</f>
        <v>575</v>
      </c>
      <c r="E13" t="s">
        <v>549</v>
      </c>
      <c r="F13" t="s">
        <v>375</v>
      </c>
    </row>
    <row r="14" spans="1:6" ht="24" customHeight="1">
      <c r="A14" s="9" t="s">
        <v>550</v>
      </c>
      <c r="B14" s="10">
        <f>SUM(B2:B13)</f>
        <v>101214</v>
      </c>
      <c r="C14" s="10">
        <f>SUM(C2:C13)</f>
        <v>575</v>
      </c>
      <c r="D14" s="10">
        <f>D13</f>
        <v>575</v>
      </c>
      <c r="E14" s="9"/>
      <c r="F14" s="9"/>
    </row>
    <row r="16" spans="1:6">
      <c r="A16" t="s">
        <v>551</v>
      </c>
    </row>
    <row r="17" spans="1:1">
      <c r="A17" t="s">
        <v>552</v>
      </c>
    </row>
    <row r="18" spans="1:1">
      <c r="A18" t="s">
        <v>553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5" customWidth="1"/>
    <col min="2" max="2" width="13" customWidth="1"/>
    <col min="3" max="5" width="12" customWidth="1"/>
    <col min="6" max="6" width="33" customWidth="1"/>
    <col min="7" max="8" width="45" customWidth="1"/>
    <col min="9" max="9" width="44" customWidth="1"/>
    <col min="10" max="10" width="50" customWidth="1"/>
  </cols>
  <sheetData>
    <row r="1" spans="1:10" ht="32" customHeight="1">
      <c r="A1" s="12" t="s">
        <v>44</v>
      </c>
      <c r="B1" s="12" t="s">
        <v>554</v>
      </c>
      <c r="C1" s="12" t="s">
        <v>555</v>
      </c>
      <c r="D1" s="12" t="s">
        <v>556</v>
      </c>
      <c r="E1" s="12" t="s">
        <v>557</v>
      </c>
      <c r="F1" s="12" t="s">
        <v>558</v>
      </c>
      <c r="G1" s="12" t="s">
        <v>559</v>
      </c>
      <c r="H1" s="12" t="s">
        <v>560</v>
      </c>
      <c r="I1" s="12" t="s">
        <v>561</v>
      </c>
      <c r="J1" s="12" t="s">
        <v>562</v>
      </c>
    </row>
    <row r="2" spans="1:10" ht="25" customHeight="1">
      <c r="A2" t="s">
        <v>315</v>
      </c>
      <c r="B2" t="s">
        <v>45</v>
      </c>
      <c r="C2" s="13">
        <v>8113</v>
      </c>
      <c r="D2" s="13">
        <v>8143</v>
      </c>
      <c r="E2" s="13">
        <v>30</v>
      </c>
      <c r="F2" s="3" t="s">
        <v>563</v>
      </c>
      <c r="G2" s="3" t="s">
        <v>317</v>
      </c>
      <c r="H2" s="3" t="s">
        <v>536</v>
      </c>
      <c r="I2" s="3" t="s">
        <v>564</v>
      </c>
      <c r="J2" s="3" t="s">
        <v>565</v>
      </c>
    </row>
    <row r="3" spans="1:10" ht="25" customHeight="1">
      <c r="A3" t="s">
        <v>320</v>
      </c>
      <c r="B3" t="s">
        <v>45</v>
      </c>
      <c r="C3" s="13">
        <v>111</v>
      </c>
      <c r="D3" s="13">
        <v>199</v>
      </c>
      <c r="E3" s="13">
        <v>88</v>
      </c>
      <c r="F3" s="3" t="s">
        <v>563</v>
      </c>
      <c r="G3" s="3" t="s">
        <v>317</v>
      </c>
      <c r="H3" s="3" t="s">
        <v>566</v>
      </c>
      <c r="I3" s="3" t="s">
        <v>564</v>
      </c>
      <c r="J3" s="3" t="s">
        <v>565</v>
      </c>
    </row>
    <row r="4" spans="1:10" ht="25" customHeight="1">
      <c r="A4" t="s">
        <v>325</v>
      </c>
      <c r="B4" t="s">
        <v>45</v>
      </c>
      <c r="C4" s="13">
        <v>23</v>
      </c>
      <c r="D4" s="13">
        <v>20</v>
      </c>
      <c r="E4" s="13">
        <v>-3</v>
      </c>
      <c r="F4" s="3" t="s">
        <v>563</v>
      </c>
      <c r="G4" s="3" t="s">
        <v>317</v>
      </c>
      <c r="H4" s="3" t="s">
        <v>566</v>
      </c>
      <c r="I4" s="3" t="s">
        <v>564</v>
      </c>
      <c r="J4" s="3" t="s">
        <v>565</v>
      </c>
    </row>
    <row r="5" spans="1:10" ht="25" customHeight="1">
      <c r="A5" t="s">
        <v>326</v>
      </c>
      <c r="B5" t="s">
        <v>45</v>
      </c>
      <c r="C5" s="13">
        <v>68</v>
      </c>
      <c r="D5" s="13">
        <v>23</v>
      </c>
      <c r="E5" s="13">
        <v>-45</v>
      </c>
      <c r="F5" s="3" t="s">
        <v>563</v>
      </c>
      <c r="G5" s="3" t="s">
        <v>317</v>
      </c>
      <c r="H5" s="3" t="s">
        <v>566</v>
      </c>
      <c r="I5" s="3" t="s">
        <v>564</v>
      </c>
      <c r="J5" s="3" t="s">
        <v>565</v>
      </c>
    </row>
    <row r="6" spans="1:10" ht="25" customHeight="1">
      <c r="A6" t="s">
        <v>327</v>
      </c>
      <c r="B6" t="s">
        <v>45</v>
      </c>
      <c r="C6" s="13">
        <v>163</v>
      </c>
      <c r="D6" s="13">
        <v>68</v>
      </c>
      <c r="E6" s="13">
        <v>-95</v>
      </c>
      <c r="F6" s="3" t="s">
        <v>563</v>
      </c>
      <c r="G6" s="3" t="s">
        <v>317</v>
      </c>
      <c r="H6" s="3" t="s">
        <v>566</v>
      </c>
      <c r="I6" s="3" t="s">
        <v>564</v>
      </c>
      <c r="J6" s="3" t="s">
        <v>565</v>
      </c>
    </row>
    <row r="7" spans="1:10" ht="25" customHeight="1">
      <c r="A7" t="s">
        <v>329</v>
      </c>
      <c r="B7" t="s">
        <v>45</v>
      </c>
      <c r="C7" s="13">
        <v>109</v>
      </c>
      <c r="D7" s="13">
        <v>164</v>
      </c>
      <c r="E7" s="13">
        <v>55</v>
      </c>
      <c r="F7" s="3" t="s">
        <v>563</v>
      </c>
      <c r="G7" s="3" t="s">
        <v>317</v>
      </c>
      <c r="H7" s="3" t="s">
        <v>566</v>
      </c>
      <c r="I7" s="3" t="s">
        <v>564</v>
      </c>
      <c r="J7" s="3" t="s">
        <v>565</v>
      </c>
    </row>
    <row r="8" spans="1:10" ht="25" customHeight="1">
      <c r="A8" t="s">
        <v>331</v>
      </c>
      <c r="B8" t="s">
        <v>45</v>
      </c>
      <c r="C8" s="13">
        <v>19</v>
      </c>
      <c r="D8" s="13">
        <v>231</v>
      </c>
      <c r="E8" s="13">
        <v>212</v>
      </c>
      <c r="F8" s="3" t="s">
        <v>563</v>
      </c>
      <c r="G8" s="3" t="s">
        <v>317</v>
      </c>
      <c r="H8" s="3" t="s">
        <v>566</v>
      </c>
      <c r="I8" s="3" t="s">
        <v>564</v>
      </c>
      <c r="J8" s="3" t="s">
        <v>565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9" customWidth="1"/>
    <col min="2" max="3" width="20" customWidth="1"/>
    <col min="4" max="4" width="15" customWidth="1"/>
    <col min="5" max="5" width="20" customWidth="1"/>
    <col min="6" max="6" width="23" customWidth="1"/>
    <col min="7" max="7" width="54" customWidth="1"/>
    <col min="8" max="8" width="65" customWidth="1"/>
  </cols>
  <sheetData>
    <row r="1" spans="1:8" ht="31" customHeight="1">
      <c r="A1" s="14" t="s">
        <v>41</v>
      </c>
      <c r="B1" s="14" t="s">
        <v>567</v>
      </c>
      <c r="C1" s="14" t="s">
        <v>568</v>
      </c>
      <c r="D1" s="14" t="s">
        <v>569</v>
      </c>
      <c r="E1" s="14" t="s">
        <v>570</v>
      </c>
      <c r="F1" s="14" t="s">
        <v>571</v>
      </c>
      <c r="G1" s="14" t="s">
        <v>572</v>
      </c>
      <c r="H1" s="14" t="s">
        <v>573</v>
      </c>
    </row>
    <row r="2" spans="1:8" ht="40" customHeight="1">
      <c r="A2">
        <v>2019</v>
      </c>
      <c r="B2" s="13">
        <v>101324</v>
      </c>
      <c r="C2" s="13">
        <v>101354</v>
      </c>
      <c r="D2" s="13">
        <v>30</v>
      </c>
      <c r="E2" s="13">
        <v>101354</v>
      </c>
      <c r="F2" t="s">
        <v>574</v>
      </c>
      <c r="G2" s="3" t="s">
        <v>536</v>
      </c>
      <c r="H2" s="3" t="s">
        <v>575</v>
      </c>
    </row>
    <row r="3" spans="1:8" ht="40" customHeight="1">
      <c r="A3">
        <v>2020</v>
      </c>
      <c r="B3" s="13">
        <v>1193</v>
      </c>
      <c r="C3" s="13">
        <v>1405</v>
      </c>
      <c r="D3" s="13">
        <v>212</v>
      </c>
      <c r="E3" s="13">
        <v>1405</v>
      </c>
      <c r="F3" t="s">
        <v>574</v>
      </c>
      <c r="G3" s="3" t="s">
        <v>566</v>
      </c>
      <c r="H3" s="3" t="s">
        <v>576</v>
      </c>
    </row>
    <row r="4" spans="1:8" ht="40" customHeight="1">
      <c r="A4" t="s">
        <v>577</v>
      </c>
      <c r="B4" s="13">
        <v>244004</v>
      </c>
      <c r="C4" s="13">
        <v>244246</v>
      </c>
      <c r="D4" s="13">
        <v>242</v>
      </c>
      <c r="E4" s="13">
        <v>244246</v>
      </c>
      <c r="F4" t="s">
        <v>574</v>
      </c>
      <c r="G4" s="3" t="s">
        <v>564</v>
      </c>
      <c r="H4" s="3" t="s">
        <v>578</v>
      </c>
    </row>
    <row r="5" spans="1:8" ht="40" customHeight="1">
      <c r="A5" t="s">
        <v>579</v>
      </c>
      <c r="B5" s="13">
        <v>769258</v>
      </c>
      <c r="C5" s="13">
        <v>769500</v>
      </c>
      <c r="D5" s="13">
        <v>242</v>
      </c>
      <c r="E5" s="13"/>
      <c r="F5" t="s">
        <v>580</v>
      </c>
      <c r="G5" s="3"/>
      <c r="H5" s="3" t="s">
        <v>581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3" customWidth="1"/>
    <col min="2" max="2" width="30" customWidth="1"/>
    <col min="3" max="3" width="44" customWidth="1"/>
    <col min="4" max="4" width="51" customWidth="1"/>
    <col min="5" max="5" width="38" customWidth="1"/>
    <col min="6" max="6" width="68" customWidth="1"/>
    <col min="7" max="7" width="55" customWidth="1"/>
  </cols>
  <sheetData>
    <row r="1" spans="1:7" ht="30" customHeight="1">
      <c r="A1" s="15" t="s">
        <v>582</v>
      </c>
      <c r="B1" s="15" t="s">
        <v>471</v>
      </c>
      <c r="C1" s="15" t="s">
        <v>583</v>
      </c>
      <c r="D1" s="15" t="s">
        <v>584</v>
      </c>
      <c r="E1" s="15" t="s">
        <v>547</v>
      </c>
      <c r="F1" s="15" t="s">
        <v>585</v>
      </c>
      <c r="G1" s="15" t="s">
        <v>586</v>
      </c>
    </row>
    <row r="2" spans="1:7" ht="55" customHeight="1">
      <c r="A2" s="3" t="s">
        <v>587</v>
      </c>
      <c r="B2" s="3" t="s">
        <v>588</v>
      </c>
      <c r="C2" s="3" t="s">
        <v>589</v>
      </c>
      <c r="D2" s="3" t="s">
        <v>590</v>
      </c>
      <c r="E2" s="3" t="s">
        <v>591</v>
      </c>
      <c r="F2" s="3" t="s">
        <v>592</v>
      </c>
      <c r="G2" s="3" t="s">
        <v>536</v>
      </c>
    </row>
    <row r="3" spans="1:7" ht="55" customHeight="1">
      <c r="A3" s="3" t="s">
        <v>593</v>
      </c>
      <c r="B3" s="3" t="s">
        <v>594</v>
      </c>
      <c r="C3" s="3" t="s">
        <v>595</v>
      </c>
      <c r="D3" s="3" t="s">
        <v>596</v>
      </c>
      <c r="E3" s="3" t="s">
        <v>597</v>
      </c>
      <c r="F3" s="3" t="s">
        <v>598</v>
      </c>
      <c r="G3" s="3" t="s">
        <v>360</v>
      </c>
    </row>
    <row r="4" spans="1:7" ht="55" customHeight="1">
      <c r="A4" s="3" t="s">
        <v>599</v>
      </c>
      <c r="B4" s="3" t="s">
        <v>600</v>
      </c>
      <c r="C4" s="3" t="s">
        <v>601</v>
      </c>
      <c r="D4" s="3" t="s">
        <v>602</v>
      </c>
      <c r="E4" s="3" t="s">
        <v>603</v>
      </c>
      <c r="F4" s="3" t="s">
        <v>604</v>
      </c>
      <c r="G4" s="3" t="s">
        <v>605</v>
      </c>
    </row>
    <row r="5" spans="1:7" ht="55" customHeight="1">
      <c r="A5" s="3" t="s">
        <v>606</v>
      </c>
      <c r="B5" s="3" t="s">
        <v>607</v>
      </c>
      <c r="C5" s="3" t="s">
        <v>608</v>
      </c>
      <c r="D5" s="3" t="s">
        <v>609</v>
      </c>
      <c r="E5" s="3" t="s">
        <v>603</v>
      </c>
      <c r="F5" s="3" t="s">
        <v>610</v>
      </c>
      <c r="G5" s="3" t="s">
        <v>605</v>
      </c>
    </row>
    <row r="6" spans="1:7" ht="55" customHeight="1">
      <c r="A6" s="3" t="s">
        <v>611</v>
      </c>
      <c r="B6" s="3" t="s">
        <v>579</v>
      </c>
      <c r="C6" s="3" t="s">
        <v>612</v>
      </c>
      <c r="D6" s="3" t="s">
        <v>613</v>
      </c>
      <c r="E6" s="3" t="s">
        <v>603</v>
      </c>
      <c r="F6" s="3" t="s">
        <v>614</v>
      </c>
      <c r="G6" s="3" t="s">
        <v>522</v>
      </c>
    </row>
    <row r="7" spans="1:7" ht="55" customHeight="1">
      <c r="A7" s="3" t="s">
        <v>615</v>
      </c>
      <c r="B7" s="3" t="s">
        <v>616</v>
      </c>
      <c r="C7" s="3" t="s">
        <v>617</v>
      </c>
      <c r="D7" s="3" t="s">
        <v>618</v>
      </c>
      <c r="E7" s="3" t="s">
        <v>603</v>
      </c>
      <c r="F7" s="3" t="s">
        <v>619</v>
      </c>
      <c r="G7" s="3" t="s">
        <v>605</v>
      </c>
    </row>
    <row r="8" spans="1:7" ht="55" customHeight="1">
      <c r="A8" s="3" t="s">
        <v>620</v>
      </c>
      <c r="B8" s="3" t="s">
        <v>621</v>
      </c>
      <c r="C8" s="3" t="s">
        <v>622</v>
      </c>
      <c r="D8" s="3" t="s">
        <v>623</v>
      </c>
      <c r="E8" s="3" t="s">
        <v>624</v>
      </c>
      <c r="F8" s="3" t="s">
        <v>625</v>
      </c>
      <c r="G8" s="3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START_HERE</vt:lpstr>
      <vt:lpstr>Research_Data</vt:lpstr>
      <vt:lpstr>NASA_Climate_2000_2025</vt:lpstr>
      <vt:lpstr>Original_2000_2021</vt:lpstr>
      <vt:lpstr>Variable_Metadata</vt:lpstr>
      <vt:lpstr>Quality_And_Sources</vt:lpstr>
      <vt:lpstr>2024_Deaths_Verification</vt:lpstr>
      <vt:lpstr>Corrections_Log</vt:lpstr>
      <vt:lpstr>Case_Reconciliation</vt:lpstr>
      <vt:lpstr>Unresolved_Issues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MdSelim Mondol</cp:lastModifiedBy>
  <dcterms:modified xsi:type="dcterms:W3CDTF">2026-10-18T23:28:01Z</dcterms:modified>
</cp:coreProperties>
</file>